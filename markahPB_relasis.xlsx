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saedumy-my.sharepoint.com/personal/ctfadzlina_psa_edu_my/Documents/RELASIS/PDP/RELASIS MPU24191/PKK/"/>
    </mc:Choice>
  </mc:AlternateContent>
  <xr:revisionPtr revIDLastSave="0" documentId="8_{8D41DC08-268E-4E8B-B22F-8091453F0963}" xr6:coauthVersionLast="47" xr6:coauthVersionMax="47" xr10:uidLastSave="{00000000-0000-0000-0000-000000000000}"/>
  <bookViews>
    <workbookView xWindow="-108" yWindow="-108" windowWidth="23256" windowHeight="12456" xr2:uid="{2F7A1D31-F63C-4F89-A6C0-5683E7B304A2}"/>
  </bookViews>
  <sheets>
    <sheet name="RELASIS" sheetId="1" r:id="rId1"/>
  </sheets>
  <definedNames>
    <definedName name="_xlnm._FilterDatabase" localSheetId="0" hidden="1">RELASIS!$A$10:$R$62</definedName>
    <definedName name="_xlnm.Print_Titles" localSheetId="0">RELASIS!$10:$10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2" i="1" l="1"/>
  <c r="Q62" i="1" s="1"/>
  <c r="K62" i="1"/>
  <c r="P61" i="1"/>
  <c r="Q61" i="1" s="1"/>
  <c r="J61" i="1"/>
  <c r="K61" i="1" s="1"/>
  <c r="R61" i="1" s="1"/>
  <c r="P60" i="1"/>
  <c r="Q60" i="1" s="1"/>
  <c r="J60" i="1"/>
  <c r="K60" i="1" s="1"/>
  <c r="R60" i="1" s="1"/>
  <c r="P59" i="1"/>
  <c r="Q59" i="1" s="1"/>
  <c r="J59" i="1"/>
  <c r="K59" i="1" s="1"/>
  <c r="P58" i="1"/>
  <c r="Q58" i="1" s="1"/>
  <c r="J58" i="1"/>
  <c r="K58" i="1" s="1"/>
  <c r="R58" i="1" s="1"/>
  <c r="P57" i="1"/>
  <c r="Q57" i="1" s="1"/>
  <c r="J57" i="1"/>
  <c r="K57" i="1" s="1"/>
  <c r="R57" i="1" s="1"/>
  <c r="P56" i="1"/>
  <c r="Q56" i="1" s="1"/>
  <c r="J56" i="1"/>
  <c r="K56" i="1" s="1"/>
  <c r="R56" i="1" s="1"/>
  <c r="P55" i="1"/>
  <c r="Q55" i="1" s="1"/>
  <c r="J55" i="1"/>
  <c r="K55" i="1" s="1"/>
  <c r="P54" i="1"/>
  <c r="Q54" i="1" s="1"/>
  <c r="J54" i="1"/>
  <c r="K54" i="1" s="1"/>
  <c r="R54" i="1" s="1"/>
  <c r="P53" i="1"/>
  <c r="Q53" i="1" s="1"/>
  <c r="J53" i="1"/>
  <c r="K53" i="1" s="1"/>
  <c r="R53" i="1" s="1"/>
  <c r="P52" i="1"/>
  <c r="Q52" i="1" s="1"/>
  <c r="J52" i="1"/>
  <c r="K52" i="1" s="1"/>
  <c r="R52" i="1" s="1"/>
  <c r="P51" i="1"/>
  <c r="Q51" i="1" s="1"/>
  <c r="J51" i="1"/>
  <c r="K51" i="1" s="1"/>
  <c r="R51" i="1" s="1"/>
  <c r="P50" i="1"/>
  <c r="Q50" i="1" s="1"/>
  <c r="K50" i="1"/>
  <c r="J50" i="1"/>
  <c r="P49" i="1"/>
  <c r="Q49" i="1" s="1"/>
  <c r="J49" i="1"/>
  <c r="K49" i="1" s="1"/>
  <c r="R49" i="1" s="1"/>
  <c r="P48" i="1"/>
  <c r="Q48" i="1" s="1"/>
  <c r="J48" i="1"/>
  <c r="K48" i="1" s="1"/>
  <c r="R48" i="1" s="1"/>
  <c r="P47" i="1"/>
  <c r="Q47" i="1" s="1"/>
  <c r="J47" i="1"/>
  <c r="K47" i="1" s="1"/>
  <c r="R47" i="1" s="1"/>
  <c r="P46" i="1"/>
  <c r="Q46" i="1" s="1"/>
  <c r="J46" i="1"/>
  <c r="K46" i="1" s="1"/>
  <c r="R46" i="1" s="1"/>
  <c r="P45" i="1"/>
  <c r="Q45" i="1" s="1"/>
  <c r="J45" i="1"/>
  <c r="K45" i="1" s="1"/>
  <c r="R45" i="1" s="1"/>
  <c r="P44" i="1"/>
  <c r="Q44" i="1" s="1"/>
  <c r="J44" i="1"/>
  <c r="K44" i="1" s="1"/>
  <c r="P43" i="1"/>
  <c r="Q43" i="1" s="1"/>
  <c r="J43" i="1"/>
  <c r="K43" i="1" s="1"/>
  <c r="R43" i="1" s="1"/>
  <c r="P42" i="1"/>
  <c r="Q42" i="1" s="1"/>
  <c r="J42" i="1"/>
  <c r="K42" i="1" s="1"/>
  <c r="R42" i="1" s="1"/>
  <c r="P41" i="1"/>
  <c r="Q41" i="1" s="1"/>
  <c r="J41" i="1"/>
  <c r="K41" i="1" s="1"/>
  <c r="R41" i="1" s="1"/>
  <c r="P40" i="1"/>
  <c r="Q40" i="1" s="1"/>
  <c r="J40" i="1"/>
  <c r="K40" i="1" s="1"/>
  <c r="R40" i="1" s="1"/>
  <c r="P39" i="1"/>
  <c r="Q39" i="1" s="1"/>
  <c r="J39" i="1"/>
  <c r="K39" i="1" s="1"/>
  <c r="R39" i="1" s="1"/>
  <c r="P38" i="1"/>
  <c r="Q38" i="1" s="1"/>
  <c r="J38" i="1"/>
  <c r="K38" i="1" s="1"/>
  <c r="R38" i="1" s="1"/>
  <c r="P37" i="1"/>
  <c r="Q37" i="1" s="1"/>
  <c r="J37" i="1"/>
  <c r="K37" i="1" s="1"/>
  <c r="R37" i="1" s="1"/>
  <c r="P36" i="1"/>
  <c r="Q36" i="1" s="1"/>
  <c r="J36" i="1"/>
  <c r="K36" i="1" s="1"/>
  <c r="R36" i="1" s="1"/>
  <c r="P35" i="1"/>
  <c r="Q35" i="1" s="1"/>
  <c r="K35" i="1"/>
  <c r="P34" i="1"/>
  <c r="Q34" i="1" s="1"/>
  <c r="J34" i="1"/>
  <c r="K34" i="1" s="1"/>
  <c r="R34" i="1" s="1"/>
  <c r="P33" i="1"/>
  <c r="Q33" i="1" s="1"/>
  <c r="J33" i="1"/>
  <c r="K33" i="1" s="1"/>
  <c r="R33" i="1" s="1"/>
  <c r="P32" i="1"/>
  <c r="Q32" i="1" s="1"/>
  <c r="J32" i="1"/>
  <c r="K32" i="1" s="1"/>
  <c r="R32" i="1" s="1"/>
  <c r="P31" i="1"/>
  <c r="Q31" i="1" s="1"/>
  <c r="J31" i="1"/>
  <c r="K31" i="1" s="1"/>
  <c r="P30" i="1"/>
  <c r="Q30" i="1" s="1"/>
  <c r="J30" i="1"/>
  <c r="K30" i="1" s="1"/>
  <c r="R30" i="1" s="1"/>
  <c r="P29" i="1"/>
  <c r="Q29" i="1" s="1"/>
  <c r="J29" i="1"/>
  <c r="K29" i="1" s="1"/>
  <c r="R29" i="1" s="1"/>
  <c r="P28" i="1"/>
  <c r="Q28" i="1" s="1"/>
  <c r="J28" i="1"/>
  <c r="K28" i="1" s="1"/>
  <c r="R28" i="1" s="1"/>
  <c r="P27" i="1"/>
  <c r="Q27" i="1" s="1"/>
  <c r="J27" i="1"/>
  <c r="K27" i="1" s="1"/>
  <c r="R27" i="1" s="1"/>
  <c r="P26" i="1"/>
  <c r="Q26" i="1" s="1"/>
  <c r="J26" i="1"/>
  <c r="K26" i="1" s="1"/>
  <c r="R26" i="1" s="1"/>
  <c r="P25" i="1"/>
  <c r="Q25" i="1" s="1"/>
  <c r="J25" i="1"/>
  <c r="K25" i="1" s="1"/>
  <c r="R25" i="1" s="1"/>
  <c r="P24" i="1"/>
  <c r="Q24" i="1" s="1"/>
  <c r="K24" i="1"/>
  <c r="P23" i="1"/>
  <c r="Q23" i="1" s="1"/>
  <c r="J23" i="1"/>
  <c r="K23" i="1" s="1"/>
  <c r="R23" i="1" s="1"/>
  <c r="P22" i="1"/>
  <c r="Q22" i="1" s="1"/>
  <c r="J22" i="1"/>
  <c r="K22" i="1" s="1"/>
  <c r="R22" i="1" s="1"/>
  <c r="P21" i="1"/>
  <c r="Q21" i="1" s="1"/>
  <c r="K21" i="1"/>
  <c r="P20" i="1"/>
  <c r="Q20" i="1" s="1"/>
  <c r="K20" i="1"/>
  <c r="P19" i="1"/>
  <c r="Q19" i="1" s="1"/>
  <c r="J19" i="1"/>
  <c r="K19" i="1" s="1"/>
  <c r="R19" i="1" s="1"/>
  <c r="P18" i="1"/>
  <c r="Q18" i="1" s="1"/>
  <c r="J18" i="1"/>
  <c r="K18" i="1" s="1"/>
  <c r="R18" i="1" s="1"/>
  <c r="P17" i="1"/>
  <c r="Q17" i="1" s="1"/>
  <c r="J17" i="1"/>
  <c r="K17" i="1" s="1"/>
  <c r="R17" i="1" s="1"/>
  <c r="P16" i="1"/>
  <c r="Q16" i="1" s="1"/>
  <c r="J16" i="1"/>
  <c r="K16" i="1" s="1"/>
  <c r="R16" i="1" s="1"/>
  <c r="P15" i="1"/>
  <c r="Q15" i="1" s="1"/>
  <c r="J15" i="1"/>
  <c r="K15" i="1" s="1"/>
  <c r="R15" i="1" s="1"/>
  <c r="P14" i="1"/>
  <c r="Q14" i="1" s="1"/>
  <c r="J14" i="1"/>
  <c r="K14" i="1" s="1"/>
  <c r="R14" i="1" s="1"/>
  <c r="P13" i="1"/>
  <c r="Q13" i="1" s="1"/>
  <c r="J13" i="1"/>
  <c r="K13" i="1" s="1"/>
  <c r="R13" i="1" s="1"/>
  <c r="P12" i="1"/>
  <c r="Q12" i="1" s="1"/>
  <c r="J12" i="1"/>
  <c r="K12" i="1" s="1"/>
  <c r="R12" i="1" s="1"/>
  <c r="R62" i="1" l="1"/>
  <c r="R50" i="1"/>
  <c r="R31" i="1"/>
  <c r="R55" i="1"/>
  <c r="R44" i="1"/>
  <c r="R24" i="1"/>
  <c r="R20" i="1"/>
  <c r="R21" i="1"/>
  <c r="R59" i="1"/>
  <c r="R35" i="1"/>
</calcChain>
</file>

<file path=xl/sharedStrings.xml><?xml version="1.0" encoding="utf-8"?>
<sst xmlns="http://schemas.openxmlformats.org/spreadsheetml/2006/main" count="185" uniqueCount="166">
  <si>
    <t>REKOD PENILAIAN BERTERUSAN PELAJAR</t>
  </si>
  <si>
    <t>POLITEKNIK SULTAN SALAHUDDIN ABDUL AZIZ SHAH</t>
  </si>
  <si>
    <t>SESI</t>
  </si>
  <si>
    <t>: 1 : 2022/2023</t>
  </si>
  <si>
    <t>JABATAN</t>
  </si>
  <si>
    <t>: JABATAN KEJURUTERAAN ELEKTRIK</t>
  </si>
  <si>
    <t>KOD KURSUS</t>
  </si>
  <si>
    <t>: DBM30043</t>
  </si>
  <si>
    <t>NAMA KURSUS</t>
  </si>
  <si>
    <t>: MATEMATIK KEJURUTERAAN ELEKTRIKAL</t>
  </si>
  <si>
    <t>SEKSYEN</t>
  </si>
  <si>
    <t>: S1</t>
  </si>
  <si>
    <t>NAMA PENSYARAH</t>
  </si>
  <si>
    <t>: SITI FADZLINA BINTI MOHAMAD ASRI</t>
  </si>
  <si>
    <t>BIL</t>
  </si>
  <si>
    <t>NO PENDAFTARAN</t>
  </si>
  <si>
    <t>NAMA PELAJAR</t>
  </si>
  <si>
    <t>KELAS</t>
  </si>
  <si>
    <t>Kepimpinan</t>
  </si>
  <si>
    <t>Penglibatan</t>
  </si>
  <si>
    <t>Etika &amp; Adab</t>
  </si>
  <si>
    <t>Pengurusan Konflik</t>
  </si>
  <si>
    <t>Empati</t>
  </si>
  <si>
    <t>MINI PROJEK</t>
  </si>
  <si>
    <t>PENGETAHUAN</t>
  </si>
  <si>
    <t>PRAKTIKAL</t>
  </si>
  <si>
    <t>KEMAHIRAN</t>
  </si>
  <si>
    <t>USAHA</t>
  </si>
  <si>
    <t>TUNJUKCARA</t>
  </si>
  <si>
    <t>JUMLAH</t>
  </si>
  <si>
    <t>MARKAH</t>
  </si>
  <si>
    <t>08DBK26F1010</t>
  </si>
  <si>
    <t>HANEEF BIN HAFEEZ</t>
  </si>
  <si>
    <t>DBK1A</t>
  </si>
  <si>
    <t>08DBK26F1054</t>
  </si>
  <si>
    <t>MUHAMAD DANISH ERWINO BIN HARI SUPRIONO</t>
  </si>
  <si>
    <t>08DBK26F1040</t>
  </si>
  <si>
    <t>WAN NUR SYAHIRAH NABIHAH BT WAN SUHADI</t>
  </si>
  <si>
    <t>DBK1B</t>
  </si>
  <si>
    <t>08DBK26F1045</t>
  </si>
  <si>
    <t>MUHAMMAD DANIAL FARISH NIM JAMILASIK</t>
  </si>
  <si>
    <t>08DEP26F1141</t>
  </si>
  <si>
    <t>AIRELL SAIFULLAH BIN SAIDUL MARUF</t>
  </si>
  <si>
    <t>DEP1B</t>
  </si>
  <si>
    <t>08DEP26F1152</t>
  </si>
  <si>
    <t>MUHAMMAD AZMIL NADZREEN BIN MOHD NADZIR</t>
  </si>
  <si>
    <t>08DEP26F1057</t>
  </si>
  <si>
    <t>MUHAMMAD SYAHMI BIN MOHAMMED SABRI</t>
  </si>
  <si>
    <t>DEP1E</t>
  </si>
  <si>
    <t>08DEP26F1104</t>
  </si>
  <si>
    <t>AQIL HAKIMI IMAN BIN ZALAZ NOR</t>
  </si>
  <si>
    <t>DEP1F</t>
  </si>
  <si>
    <t>08DEP26F1106</t>
  </si>
  <si>
    <t>MUHAMMAD FAKHRULLAH BIN GHAZALI</t>
  </si>
  <si>
    <t>08DEP26F1123</t>
  </si>
  <si>
    <t>MUHAMMAD ALIEF IZZAN BIN MOHD FAATIH</t>
  </si>
  <si>
    <t>08DEP26F1136</t>
  </si>
  <si>
    <t>IMRAN SYAHMI BIN SHAHIZUDDIN</t>
  </si>
  <si>
    <t>08DEP26F1145</t>
  </si>
  <si>
    <t>MUHAMMAD NOR AFIQ BIN NOR AFZAINIZAM</t>
  </si>
  <si>
    <t>08DEP26F1178</t>
  </si>
  <si>
    <t>ADIB MUHAIMIN BIN NOR AZUAN</t>
  </si>
  <si>
    <t>DEP1G</t>
  </si>
  <si>
    <t>08DEP26F1306</t>
  </si>
  <si>
    <t>MUHAMMAD ALIF TAQRIS BIN SALEHUDDIN</t>
  </si>
  <si>
    <t>08DEP26F1256</t>
  </si>
  <si>
    <t>THEERANRAAO A/L SIVA</t>
  </si>
  <si>
    <t>DEP1H</t>
  </si>
  <si>
    <t>08DEU26F1049</t>
  </si>
  <si>
    <t>MUHAMMAD SAIFUL FIRDAUS BIN MOHAMAD HAMZI</t>
  </si>
  <si>
    <t>DEU1B</t>
  </si>
  <si>
    <t>08DEU26F1091</t>
  </si>
  <si>
    <t>MARSYA SHAFIQA BINTI MOHD RIZAL</t>
  </si>
  <si>
    <t>DEU1C</t>
  </si>
  <si>
    <t>08DEU26F1125</t>
  </si>
  <si>
    <t>HAIDAINA INNANI BINTI AZAHARI</t>
  </si>
  <si>
    <t>DEU1D</t>
  </si>
  <si>
    <t>08DEU26F1144</t>
  </si>
  <si>
    <t>MUHAMMAD AFIQ HAIKAL BIN MAZLAN</t>
  </si>
  <si>
    <t>DEU1E</t>
  </si>
  <si>
    <t>08DEU26F1150</t>
  </si>
  <si>
    <t>ARMAN RAZIEN BIN MUHD RAHIZA AFIELI</t>
  </si>
  <si>
    <t xml:space="preserve">	
08DEU26F1168</t>
  </si>
  <si>
    <t>MUHAMMAD AMSYAR ARIF BIN MOHD RAFEI</t>
  </si>
  <si>
    <t>DEU1F</t>
  </si>
  <si>
    <t>08DEU26F1176</t>
  </si>
  <si>
    <t>NUR AINA NAFEESA BINTI MOHAMAD FADHIL</t>
  </si>
  <si>
    <t xml:space="preserve">	
08DIN26F1041</t>
  </si>
  <si>
    <t>MUGESHWARAN A/L N.SHANMUGAM</t>
  </si>
  <si>
    <t>DIN1B</t>
  </si>
  <si>
    <t>08DIN26F1072</t>
  </si>
  <si>
    <t>MUHAMMAD THAQIF SOLIHIN BIN AHMAD NORISHAM</t>
  </si>
  <si>
    <t>08DJK26F1009</t>
  </si>
  <si>
    <t>AIMY NABILAH BINTI ABDULLAH</t>
  </si>
  <si>
    <t>DJK1A</t>
  </si>
  <si>
    <t>08DJK26F1131</t>
  </si>
  <si>
    <t>TENGKU AHMAD NAQIUDDIN BIN TENGKU AHMAD</t>
  </si>
  <si>
    <t>DJK1B</t>
  </si>
  <si>
    <t>08DJK26F1260</t>
  </si>
  <si>
    <t>MUHAMMAD IZZ PUTRA BIN MUHD IZMAN</t>
  </si>
  <si>
    <t>08DJK26F1209</t>
  </si>
  <si>
    <t>MUHAMMAD DANISH DANIAL BIN MOHD IZZAILY NOOR</t>
  </si>
  <si>
    <t>DJK1C</t>
  </si>
  <si>
    <t>08DJK26F1069</t>
  </si>
  <si>
    <t>AHMAD NAZHAN BIN HANAFIRON</t>
  </si>
  <si>
    <t>DJK1E</t>
  </si>
  <si>
    <t>08DJK26F1097</t>
  </si>
  <si>
    <t>AMIRAH FARHANA BINTI HAIRUL</t>
  </si>
  <si>
    <t xml:space="preserve">	
08DJK26F1115</t>
  </si>
  <si>
    <t>MUHAMMAD ALIF NAUFAL BIN ROFIZAL</t>
  </si>
  <si>
    <t>DJK1F</t>
  </si>
  <si>
    <t xml:space="preserve">	
08DJK26F1230</t>
  </si>
  <si>
    <t>MOHAMMAD ADLI QAYYIM BIN MOHD ZULKIFLI</t>
  </si>
  <si>
    <t>DJK1H</t>
  </si>
  <si>
    <t>08DKA26F1008</t>
  </si>
  <si>
    <t>EINUR INTAN ASMARA BINTI EFFENDY</t>
  </si>
  <si>
    <t>DKA1A</t>
  </si>
  <si>
    <t>08DKA26F1094</t>
  </si>
  <si>
    <t>MUHAMAD FAREL IKWAN BIN KAMARU AZMI</t>
  </si>
  <si>
    <t>08DKA24F1299</t>
  </si>
  <si>
    <t xml:space="preserve">MUHAMMAD EMRAN BIN SHAMSULASRI </t>
  </si>
  <si>
    <t>DKA1C</t>
  </si>
  <si>
    <t>08DKA26F1048</t>
  </si>
  <si>
    <t>ARIQ FIKRY SHAH BIN HARAIANSA</t>
  </si>
  <si>
    <t>DKA1D</t>
  </si>
  <si>
    <t>08DKM26F1287</t>
  </si>
  <si>
    <t>VISHAL A/L SELVENTHIRAN</t>
  </si>
  <si>
    <t>DKM1E</t>
  </si>
  <si>
    <t>08DPB26F1076</t>
  </si>
  <si>
    <t>ABU HAYYUM BIN ABDUL HALIM</t>
  </si>
  <si>
    <t>DPB1A</t>
  </si>
  <si>
    <t>08DPB26F1077</t>
  </si>
  <si>
    <t>MUHAMMAD AQEEF ZAFRI BIN HASNULHADI</t>
  </si>
  <si>
    <t>08DPB26F1007</t>
  </si>
  <si>
    <t>MUHAMMAD AMMAR WAFIY BIN NORMANSHAH</t>
  </si>
  <si>
    <t>DPB1B</t>
  </si>
  <si>
    <t>08DPB26F1047</t>
  </si>
  <si>
    <t>MUHMMAD ISMAIL BIN ABDUL HAIYI</t>
  </si>
  <si>
    <t>08DPB26F1082</t>
  </si>
  <si>
    <t>MUHAMMAD FIKRY HAZRIQ BIN JAMSARI</t>
  </si>
  <si>
    <t>DPB1C</t>
  </si>
  <si>
    <t>08DPB26F1231</t>
  </si>
  <si>
    <t>MUHAMMAD AMIRUL HAKIMI BIN MOHD KHAIRUL ANWAR</t>
  </si>
  <si>
    <t>DPB1E</t>
  </si>
  <si>
    <t>08DPI26F1109</t>
  </si>
  <si>
    <t>RIFQI BIN MOHAMMAD REZA</t>
  </si>
  <si>
    <t>DPI1B</t>
  </si>
  <si>
    <t>08DPI26F1038</t>
  </si>
  <si>
    <t>MUHAMMAD HUZAIFAH BIN KAHAR</t>
  </si>
  <si>
    <t>DPI1C</t>
  </si>
  <si>
    <t>08DPI26F1086</t>
  </si>
  <si>
    <t xml:space="preserve">HAIKAL ZAKWAN BIN HASNIZAM </t>
  </si>
  <si>
    <t>08DPI26F1111</t>
  </si>
  <si>
    <t>CHONG WAI QIN</t>
  </si>
  <si>
    <t>08DPI26F1093</t>
  </si>
  <si>
    <t>MUHAMMAD ADAM HAFIZI BIN MOHD FAUZI</t>
  </si>
  <si>
    <t>DPI1D</t>
  </si>
  <si>
    <t>08DPM26F1008</t>
  </si>
  <si>
    <t>MUHAMMAD ISKANDAR BIN MOHD KHAIRIL</t>
  </si>
  <si>
    <t>DPM1B</t>
  </si>
  <si>
    <t>08DPR26F1073</t>
  </si>
  <si>
    <t>AINA SAFIAH BINTI MOHD TARMIZI</t>
  </si>
  <si>
    <t>DPR1A</t>
  </si>
  <si>
    <t>08DPR26F1049</t>
  </si>
  <si>
    <t>NUR AQILAH FARISAH BINTI MOHD FAUZI</t>
  </si>
  <si>
    <t>DPR1C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</si>
</sst>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8"/>
      <color rgb="FF0000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C731-E24E-471C-A074-F9BB06488060}">
  <sheetPr>
    <tabColor rgb="FFB775B4"/>
    <pageSetUpPr fitToPage="1"/>
  </sheetPr>
  <dimension ref="A1:R69"/>
  <sheetViews>
    <sheetView tabSelected="1" zoomScale="120" zoomScaleNormal="120" zoomScaleSheetLayoutView="124" workbookViewId="0">
      <pane xSplit="4" ySplit="11" topLeftCell="E45" activePane="bottomRight" state="frozen"/>
      <selection pane="topRight" activeCell="E1" sqref="E1"/>
      <selection pane="bottomLeft" activeCell="A14" sqref="A14"/>
      <selection pane="bottomRight" activeCell="N48" sqref="N48"/>
    </sheetView>
  </sheetViews>
  <sheetFormatPr defaultRowHeight="14.4" x14ac:dyDescent="0.3"/>
  <cols>
    <col min="1" max="1" width="4.5546875" customWidth="1"/>
    <col min="2" max="2" width="13.5546875" bestFit="1" customWidth="1"/>
    <col min="3" max="3" width="28" customWidth="1"/>
    <col min="4" max="4" width="6.6640625" style="6" bestFit="1" customWidth="1"/>
    <col min="5" max="5" width="6.5546875" customWidth="1"/>
    <col min="6" max="6" width="6" customWidth="1"/>
    <col min="7" max="7" width="6.88671875" customWidth="1"/>
    <col min="8" max="8" width="9.109375" customWidth="1"/>
    <col min="9" max="9" width="7" customWidth="1"/>
    <col min="10" max="10" width="8.33203125" bestFit="1" customWidth="1"/>
    <col min="11" max="11" width="5.109375" customWidth="1"/>
    <col min="12" max="12" width="12.33203125" customWidth="1"/>
    <col min="13" max="13" width="9.33203125" customWidth="1"/>
    <col min="14" max="14" width="12.33203125" customWidth="1"/>
    <col min="15" max="15" width="7.5546875" customWidth="1"/>
    <col min="16" max="16" width="8.33203125" bestFit="1" customWidth="1"/>
    <col min="17" max="17" width="4.33203125" bestFit="1" customWidth="1"/>
    <col min="18" max="18" width="9.6640625" customWidth="1"/>
  </cols>
  <sheetData>
    <row r="1" spans="1: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.2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idden="1" x14ac:dyDescent="0.3">
      <c r="A3" s="2" t="s">
        <v>2</v>
      </c>
      <c r="B3" s="2"/>
      <c r="C3" s="3" t="s">
        <v>3</v>
      </c>
      <c r="D3" s="3"/>
    </row>
    <row r="4" spans="1:18" hidden="1" x14ac:dyDescent="0.3">
      <c r="A4" s="3" t="s">
        <v>4</v>
      </c>
      <c r="B4" s="3"/>
      <c r="C4" s="3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spans="1:18" hidden="1" x14ac:dyDescent="0.3">
      <c r="A5" s="2" t="s">
        <v>6</v>
      </c>
      <c r="B5" s="2"/>
      <c r="C5" s="3" t="s">
        <v>7</v>
      </c>
      <c r="D5" s="3"/>
    </row>
    <row r="6" spans="1:18" hidden="1" x14ac:dyDescent="0.3">
      <c r="A6" s="3" t="s">
        <v>8</v>
      </c>
      <c r="B6" s="3"/>
      <c r="C6" s="3" t="s">
        <v>9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8" hidden="1" x14ac:dyDescent="0.3">
      <c r="A7" s="3" t="s">
        <v>10</v>
      </c>
      <c r="B7" s="3"/>
      <c r="C7" s="4" t="s">
        <v>11</v>
      </c>
      <c r="D7" s="5"/>
    </row>
    <row r="8" spans="1:18" hidden="1" x14ac:dyDescent="0.3">
      <c r="A8" s="3" t="s">
        <v>12</v>
      </c>
      <c r="B8" s="3"/>
      <c r="C8" s="3" t="s">
        <v>13</v>
      </c>
      <c r="D8" s="3"/>
      <c r="E8" s="3"/>
      <c r="F8" s="3"/>
      <c r="G8" s="3"/>
      <c r="H8" s="3"/>
      <c r="I8" s="3"/>
      <c r="J8" s="3"/>
      <c r="K8" s="3"/>
      <c r="L8" s="3"/>
    </row>
    <row r="9" spans="1:18" x14ac:dyDescent="0.3">
      <c r="A9" s="4"/>
    </row>
    <row r="10" spans="1:18" ht="28.95" customHeight="1" x14ac:dyDescent="0.3">
      <c r="A10" s="7" t="s">
        <v>14</v>
      </c>
      <c r="B10" s="7" t="s">
        <v>15</v>
      </c>
      <c r="C10" s="7" t="s">
        <v>16</v>
      </c>
      <c r="D10" s="8" t="s">
        <v>17</v>
      </c>
      <c r="E10" s="9" t="s">
        <v>18</v>
      </c>
      <c r="F10" s="9" t="s">
        <v>19</v>
      </c>
      <c r="G10" s="9" t="s">
        <v>20</v>
      </c>
      <c r="H10" s="9" t="s">
        <v>21</v>
      </c>
      <c r="I10" s="9" t="s">
        <v>22</v>
      </c>
      <c r="J10" s="10" t="s">
        <v>23</v>
      </c>
      <c r="K10" s="11"/>
      <c r="L10" s="12" t="s">
        <v>24</v>
      </c>
      <c r="M10" s="12" t="s">
        <v>25</v>
      </c>
      <c r="N10" s="12" t="s">
        <v>26</v>
      </c>
      <c r="O10" s="12" t="s">
        <v>27</v>
      </c>
      <c r="P10" s="10" t="s">
        <v>28</v>
      </c>
      <c r="Q10" s="11"/>
      <c r="R10" s="7" t="s">
        <v>29</v>
      </c>
    </row>
    <row r="11" spans="1:18" ht="22.2" customHeight="1" x14ac:dyDescent="0.3">
      <c r="A11" s="8"/>
      <c r="B11" s="8"/>
      <c r="C11" s="8"/>
      <c r="D11" s="13"/>
      <c r="E11" s="14">
        <v>30</v>
      </c>
      <c r="F11" s="14">
        <v>25</v>
      </c>
      <c r="G11" s="14">
        <v>15</v>
      </c>
      <c r="H11" s="14">
        <v>15</v>
      </c>
      <c r="I11" s="14">
        <v>15</v>
      </c>
      <c r="J11" s="14" t="s">
        <v>30</v>
      </c>
      <c r="K11" s="15">
        <v>0.4</v>
      </c>
      <c r="L11" s="12">
        <v>20</v>
      </c>
      <c r="M11" s="12">
        <v>30</v>
      </c>
      <c r="N11" s="12">
        <v>30</v>
      </c>
      <c r="O11" s="12">
        <v>20</v>
      </c>
      <c r="P11" s="14" t="s">
        <v>30</v>
      </c>
      <c r="Q11" s="15">
        <v>0.6</v>
      </c>
      <c r="R11" s="7"/>
    </row>
    <row r="12" spans="1:18" ht="22.2" customHeight="1" x14ac:dyDescent="0.3">
      <c r="A12" s="16">
        <v>1</v>
      </c>
      <c r="B12" s="16" t="s">
        <v>31</v>
      </c>
      <c r="C12" s="17" t="s">
        <v>32</v>
      </c>
      <c r="D12" s="18" t="s">
        <v>33</v>
      </c>
      <c r="E12" s="19">
        <v>24</v>
      </c>
      <c r="F12" s="20">
        <v>15</v>
      </c>
      <c r="G12" s="19">
        <v>15</v>
      </c>
      <c r="H12" s="19">
        <v>15</v>
      </c>
      <c r="I12" s="20">
        <v>12</v>
      </c>
      <c r="J12" s="20">
        <f t="shared" ref="J12:J19" si="0">SUM(E12:I12)</f>
        <v>81</v>
      </c>
      <c r="K12" s="19">
        <f t="shared" ref="K12:K62" si="1">(J12/100)*40</f>
        <v>32.400000000000006</v>
      </c>
      <c r="L12" s="19">
        <v>20</v>
      </c>
      <c r="M12" s="20">
        <v>24</v>
      </c>
      <c r="N12" s="19">
        <v>24</v>
      </c>
      <c r="O12" s="19">
        <v>20</v>
      </c>
      <c r="P12" s="21">
        <f>SUM(L12:O12)</f>
        <v>88</v>
      </c>
      <c r="Q12" s="19">
        <f>(P12/100)*60</f>
        <v>52.8</v>
      </c>
      <c r="R12" s="22">
        <f t="shared" ref="R12:R62" si="2">K12+Q12</f>
        <v>85.2</v>
      </c>
    </row>
    <row r="13" spans="1:18" ht="20.399999999999999" x14ac:dyDescent="0.3">
      <c r="A13" s="16">
        <v>2</v>
      </c>
      <c r="B13" s="23" t="s">
        <v>34</v>
      </c>
      <c r="C13" s="24" t="s">
        <v>35</v>
      </c>
      <c r="D13" s="23" t="s">
        <v>33</v>
      </c>
      <c r="E13" s="25">
        <v>24</v>
      </c>
      <c r="F13" s="26">
        <v>25</v>
      </c>
      <c r="G13" s="25">
        <v>15</v>
      </c>
      <c r="H13" s="25">
        <v>15</v>
      </c>
      <c r="I13" s="26">
        <v>15</v>
      </c>
      <c r="J13" s="26">
        <f t="shared" si="0"/>
        <v>94</v>
      </c>
      <c r="K13" s="19">
        <f t="shared" si="1"/>
        <v>37.599999999999994</v>
      </c>
      <c r="L13" s="25">
        <v>16</v>
      </c>
      <c r="M13" s="26">
        <v>24</v>
      </c>
      <c r="N13" s="25">
        <v>24</v>
      </c>
      <c r="O13" s="25">
        <v>20</v>
      </c>
      <c r="P13" s="27">
        <f>SUM(L13:O13)</f>
        <v>84</v>
      </c>
      <c r="Q13" s="19">
        <f>(P13/100)*60</f>
        <v>50.4</v>
      </c>
      <c r="R13" s="28">
        <f t="shared" si="2"/>
        <v>88</v>
      </c>
    </row>
    <row r="14" spans="1:18" ht="20.399999999999999" x14ac:dyDescent="0.3">
      <c r="A14" s="16">
        <v>3</v>
      </c>
      <c r="B14" s="29" t="s">
        <v>36</v>
      </c>
      <c r="C14" s="30" t="s">
        <v>37</v>
      </c>
      <c r="D14" s="29" t="s">
        <v>38</v>
      </c>
      <c r="E14" s="31">
        <v>30</v>
      </c>
      <c r="F14" s="32">
        <v>25</v>
      </c>
      <c r="G14" s="31">
        <v>15</v>
      </c>
      <c r="H14" s="31">
        <v>15</v>
      </c>
      <c r="I14" s="32">
        <v>15</v>
      </c>
      <c r="J14" s="32">
        <f t="shared" si="0"/>
        <v>100</v>
      </c>
      <c r="K14" s="31">
        <f t="shared" si="1"/>
        <v>40</v>
      </c>
      <c r="L14" s="31">
        <v>20</v>
      </c>
      <c r="M14" s="32">
        <v>24</v>
      </c>
      <c r="N14" s="31">
        <v>24</v>
      </c>
      <c r="O14" s="31">
        <v>20</v>
      </c>
      <c r="P14" s="33">
        <f>SUM(L14:O14)</f>
        <v>88</v>
      </c>
      <c r="Q14" s="19">
        <f t="shared" ref="Q14:Q62" si="3">(P14/100)*60</f>
        <v>52.8</v>
      </c>
      <c r="R14" s="34">
        <f t="shared" si="2"/>
        <v>92.8</v>
      </c>
    </row>
    <row r="15" spans="1:18" ht="20.399999999999999" x14ac:dyDescent="0.3">
      <c r="A15" s="16">
        <v>4</v>
      </c>
      <c r="B15" s="29" t="s">
        <v>39</v>
      </c>
      <c r="C15" s="30" t="s">
        <v>40</v>
      </c>
      <c r="D15" s="29" t="s">
        <v>38</v>
      </c>
      <c r="E15" s="31">
        <v>30</v>
      </c>
      <c r="F15" s="32">
        <v>25</v>
      </c>
      <c r="G15" s="31">
        <v>15</v>
      </c>
      <c r="H15" s="31">
        <v>15</v>
      </c>
      <c r="I15" s="32">
        <v>15</v>
      </c>
      <c r="J15" s="32">
        <f t="shared" si="0"/>
        <v>100</v>
      </c>
      <c r="K15" s="31">
        <f t="shared" si="1"/>
        <v>40</v>
      </c>
      <c r="L15" s="31">
        <v>20</v>
      </c>
      <c r="M15" s="32">
        <v>24</v>
      </c>
      <c r="N15" s="31">
        <v>24</v>
      </c>
      <c r="O15" s="31">
        <v>16</v>
      </c>
      <c r="P15" s="33">
        <f>SUM(L15:O15)</f>
        <v>84</v>
      </c>
      <c r="Q15" s="19">
        <f t="shared" si="3"/>
        <v>50.4</v>
      </c>
      <c r="R15" s="34">
        <f t="shared" si="2"/>
        <v>90.4</v>
      </c>
    </row>
    <row r="16" spans="1:18" ht="21" customHeight="1" x14ac:dyDescent="0.3">
      <c r="A16" s="16">
        <v>5</v>
      </c>
      <c r="B16" s="16" t="s">
        <v>41</v>
      </c>
      <c r="C16" s="35" t="s">
        <v>42</v>
      </c>
      <c r="D16" s="16" t="s">
        <v>43</v>
      </c>
      <c r="E16" s="19">
        <v>30</v>
      </c>
      <c r="F16" s="20">
        <v>25</v>
      </c>
      <c r="G16" s="19">
        <v>15</v>
      </c>
      <c r="H16" s="19">
        <v>15</v>
      </c>
      <c r="I16" s="20">
        <v>15</v>
      </c>
      <c r="J16" s="20">
        <f t="shared" si="0"/>
        <v>100</v>
      </c>
      <c r="K16" s="19">
        <f t="shared" si="1"/>
        <v>40</v>
      </c>
      <c r="L16" s="19">
        <v>16</v>
      </c>
      <c r="M16" s="20">
        <v>24</v>
      </c>
      <c r="N16" s="19">
        <v>24</v>
      </c>
      <c r="O16" s="19">
        <v>20</v>
      </c>
      <c r="P16" s="21">
        <f>SUM(L16:O16)</f>
        <v>84</v>
      </c>
      <c r="Q16" s="19">
        <f t="shared" si="3"/>
        <v>50.4</v>
      </c>
      <c r="R16" s="22">
        <f t="shared" si="2"/>
        <v>90.4</v>
      </c>
    </row>
    <row r="17" spans="1:18" ht="20.399999999999999" x14ac:dyDescent="0.3">
      <c r="A17" s="16">
        <v>6</v>
      </c>
      <c r="B17" s="36" t="s">
        <v>44</v>
      </c>
      <c r="C17" s="37" t="s">
        <v>45</v>
      </c>
      <c r="D17" s="36" t="s">
        <v>43</v>
      </c>
      <c r="E17" s="38">
        <v>24</v>
      </c>
      <c r="F17" s="39">
        <v>25</v>
      </c>
      <c r="G17" s="38">
        <v>15</v>
      </c>
      <c r="H17" s="38">
        <v>12</v>
      </c>
      <c r="I17" s="39">
        <v>15</v>
      </c>
      <c r="J17" s="39">
        <f t="shared" si="0"/>
        <v>91</v>
      </c>
      <c r="K17" s="38">
        <f t="shared" si="1"/>
        <v>36.4</v>
      </c>
      <c r="L17" s="38">
        <v>20</v>
      </c>
      <c r="M17" s="39">
        <v>24</v>
      </c>
      <c r="N17" s="38">
        <v>24</v>
      </c>
      <c r="O17" s="38">
        <v>20</v>
      </c>
      <c r="P17" s="40">
        <f t="shared" ref="P17:P62" si="4">SUM(L17:O17)</f>
        <v>88</v>
      </c>
      <c r="Q17" s="19">
        <f t="shared" si="3"/>
        <v>52.8</v>
      </c>
      <c r="R17" s="41">
        <f t="shared" si="2"/>
        <v>89.199999999999989</v>
      </c>
    </row>
    <row r="18" spans="1:18" ht="20.399999999999999" x14ac:dyDescent="0.3">
      <c r="A18" s="16">
        <v>7</v>
      </c>
      <c r="B18" s="36" t="s">
        <v>46</v>
      </c>
      <c r="C18" s="37" t="s">
        <v>47</v>
      </c>
      <c r="D18" s="36" t="s">
        <v>48</v>
      </c>
      <c r="E18" s="38">
        <v>24</v>
      </c>
      <c r="F18" s="39">
        <v>25</v>
      </c>
      <c r="G18" s="38">
        <v>15</v>
      </c>
      <c r="H18" s="38">
        <v>12</v>
      </c>
      <c r="I18" s="39">
        <v>15</v>
      </c>
      <c r="J18" s="39">
        <f t="shared" si="0"/>
        <v>91</v>
      </c>
      <c r="K18" s="38">
        <f t="shared" si="1"/>
        <v>36.4</v>
      </c>
      <c r="L18" s="38">
        <v>20</v>
      </c>
      <c r="M18" s="39">
        <v>24</v>
      </c>
      <c r="N18" s="38">
        <v>24</v>
      </c>
      <c r="O18" s="38">
        <v>20</v>
      </c>
      <c r="P18" s="40">
        <f t="shared" si="4"/>
        <v>88</v>
      </c>
      <c r="Q18" s="19">
        <f t="shared" si="3"/>
        <v>52.8</v>
      </c>
      <c r="R18" s="41">
        <f t="shared" si="2"/>
        <v>89.199999999999989</v>
      </c>
    </row>
    <row r="19" spans="1:18" x14ac:dyDescent="0.3">
      <c r="A19" s="16">
        <v>8</v>
      </c>
      <c r="B19" s="36" t="s">
        <v>49</v>
      </c>
      <c r="C19" s="37" t="s">
        <v>50</v>
      </c>
      <c r="D19" s="36" t="s">
        <v>51</v>
      </c>
      <c r="E19" s="38">
        <v>24</v>
      </c>
      <c r="F19" s="39">
        <v>25</v>
      </c>
      <c r="G19" s="38">
        <v>15</v>
      </c>
      <c r="H19" s="38">
        <v>12</v>
      </c>
      <c r="I19" s="39">
        <v>15</v>
      </c>
      <c r="J19" s="39">
        <f t="shared" si="0"/>
        <v>91</v>
      </c>
      <c r="K19" s="38">
        <f t="shared" si="1"/>
        <v>36.4</v>
      </c>
      <c r="L19" s="38">
        <v>20</v>
      </c>
      <c r="M19" s="39">
        <v>24</v>
      </c>
      <c r="N19" s="38">
        <v>24</v>
      </c>
      <c r="O19" s="38">
        <v>20</v>
      </c>
      <c r="P19" s="40">
        <f t="shared" si="4"/>
        <v>88</v>
      </c>
      <c r="Q19" s="19">
        <f t="shared" si="3"/>
        <v>52.8</v>
      </c>
      <c r="R19" s="41">
        <f t="shared" si="2"/>
        <v>89.199999999999989</v>
      </c>
    </row>
    <row r="20" spans="1:18" x14ac:dyDescent="0.3">
      <c r="A20" s="16">
        <v>9</v>
      </c>
      <c r="B20" s="16" t="s">
        <v>52</v>
      </c>
      <c r="C20" s="35" t="s">
        <v>53</v>
      </c>
      <c r="D20" s="16" t="s">
        <v>51</v>
      </c>
      <c r="E20" s="19">
        <v>30</v>
      </c>
      <c r="F20" s="20">
        <v>25</v>
      </c>
      <c r="G20" s="19">
        <v>15</v>
      </c>
      <c r="H20" s="19">
        <v>15</v>
      </c>
      <c r="I20" s="20">
        <v>15</v>
      </c>
      <c r="J20" s="20">
        <v>100</v>
      </c>
      <c r="K20" s="19">
        <f t="shared" si="1"/>
        <v>40</v>
      </c>
      <c r="L20" s="19">
        <v>20</v>
      </c>
      <c r="M20" s="20">
        <v>24</v>
      </c>
      <c r="N20" s="19">
        <v>24</v>
      </c>
      <c r="O20" s="19">
        <v>20</v>
      </c>
      <c r="P20" s="21">
        <f t="shared" si="4"/>
        <v>88</v>
      </c>
      <c r="Q20" s="19">
        <f t="shared" si="3"/>
        <v>52.8</v>
      </c>
      <c r="R20" s="22">
        <f t="shared" si="2"/>
        <v>92.8</v>
      </c>
    </row>
    <row r="21" spans="1:18" ht="20.399999999999999" x14ac:dyDescent="0.3">
      <c r="A21" s="16">
        <v>10</v>
      </c>
      <c r="B21" s="16" t="s">
        <v>54</v>
      </c>
      <c r="C21" s="35" t="s">
        <v>55</v>
      </c>
      <c r="D21" s="16" t="s">
        <v>51</v>
      </c>
      <c r="E21" s="19">
        <v>30</v>
      </c>
      <c r="F21" s="20">
        <v>25</v>
      </c>
      <c r="G21" s="19">
        <v>15</v>
      </c>
      <c r="H21" s="19">
        <v>15</v>
      </c>
      <c r="I21" s="20">
        <v>15</v>
      </c>
      <c r="J21" s="20">
        <v>100</v>
      </c>
      <c r="K21" s="19">
        <f t="shared" si="1"/>
        <v>40</v>
      </c>
      <c r="L21" s="19">
        <v>20</v>
      </c>
      <c r="M21" s="20">
        <v>24</v>
      </c>
      <c r="N21" s="19">
        <v>24</v>
      </c>
      <c r="O21" s="19">
        <v>20</v>
      </c>
      <c r="P21" s="21">
        <f t="shared" si="4"/>
        <v>88</v>
      </c>
      <c r="Q21" s="19">
        <f t="shared" si="3"/>
        <v>52.8</v>
      </c>
      <c r="R21" s="22">
        <f t="shared" si="2"/>
        <v>92.8</v>
      </c>
    </row>
    <row r="22" spans="1:18" x14ac:dyDescent="0.3">
      <c r="A22" s="16">
        <v>11</v>
      </c>
      <c r="B22" s="42" t="s">
        <v>56</v>
      </c>
      <c r="C22" s="43" t="s">
        <v>57</v>
      </c>
      <c r="D22" s="42" t="s">
        <v>51</v>
      </c>
      <c r="E22" s="44">
        <v>30</v>
      </c>
      <c r="F22" s="45">
        <v>20</v>
      </c>
      <c r="G22" s="44">
        <v>15</v>
      </c>
      <c r="H22" s="44">
        <v>15</v>
      </c>
      <c r="I22" s="45">
        <v>15</v>
      </c>
      <c r="J22" s="45">
        <f>SUM(E22:I22)</f>
        <v>95</v>
      </c>
      <c r="K22" s="19">
        <f t="shared" si="1"/>
        <v>38</v>
      </c>
      <c r="L22" s="44">
        <v>16</v>
      </c>
      <c r="M22" s="45">
        <v>24</v>
      </c>
      <c r="N22" s="44">
        <v>24</v>
      </c>
      <c r="O22" s="44">
        <v>20</v>
      </c>
      <c r="P22" s="46">
        <f t="shared" si="4"/>
        <v>84</v>
      </c>
      <c r="Q22" s="19">
        <f t="shared" si="3"/>
        <v>50.4</v>
      </c>
      <c r="R22" s="47">
        <f t="shared" si="2"/>
        <v>88.4</v>
      </c>
    </row>
    <row r="23" spans="1:18" ht="20.399999999999999" x14ac:dyDescent="0.3">
      <c r="A23" s="16">
        <v>12</v>
      </c>
      <c r="B23" s="42" t="s">
        <v>58</v>
      </c>
      <c r="C23" s="17" t="s">
        <v>59</v>
      </c>
      <c r="D23" s="18" t="s">
        <v>51</v>
      </c>
      <c r="E23" s="44">
        <v>24</v>
      </c>
      <c r="F23" s="45">
        <v>15</v>
      </c>
      <c r="G23" s="44">
        <v>15</v>
      </c>
      <c r="H23" s="44">
        <v>15</v>
      </c>
      <c r="I23" s="45">
        <v>12</v>
      </c>
      <c r="J23" s="45">
        <f>SUM(E23:I23)</f>
        <v>81</v>
      </c>
      <c r="K23" s="19">
        <f t="shared" si="1"/>
        <v>32.400000000000006</v>
      </c>
      <c r="L23" s="44">
        <v>12</v>
      </c>
      <c r="M23" s="45">
        <v>24</v>
      </c>
      <c r="N23" s="44">
        <v>24</v>
      </c>
      <c r="O23" s="44">
        <v>20</v>
      </c>
      <c r="P23" s="46">
        <f t="shared" si="4"/>
        <v>80</v>
      </c>
      <c r="Q23" s="19">
        <f t="shared" si="3"/>
        <v>48</v>
      </c>
      <c r="R23" s="47">
        <f t="shared" si="2"/>
        <v>80.400000000000006</v>
      </c>
    </row>
    <row r="24" spans="1:18" x14ac:dyDescent="0.3">
      <c r="A24" s="16">
        <v>13</v>
      </c>
      <c r="B24" s="16" t="s">
        <v>60</v>
      </c>
      <c r="C24" s="35" t="s">
        <v>61</v>
      </c>
      <c r="D24" s="16" t="s">
        <v>62</v>
      </c>
      <c r="E24" s="19">
        <v>30</v>
      </c>
      <c r="F24" s="20">
        <v>25</v>
      </c>
      <c r="G24" s="19">
        <v>15</v>
      </c>
      <c r="H24" s="19">
        <v>15</v>
      </c>
      <c r="I24" s="20">
        <v>15</v>
      </c>
      <c r="J24" s="20">
        <v>100</v>
      </c>
      <c r="K24" s="19">
        <f t="shared" si="1"/>
        <v>40</v>
      </c>
      <c r="L24" s="19">
        <v>20</v>
      </c>
      <c r="M24" s="20">
        <v>24</v>
      </c>
      <c r="N24" s="19">
        <v>24</v>
      </c>
      <c r="O24" s="19">
        <v>20</v>
      </c>
      <c r="P24" s="21">
        <f t="shared" si="4"/>
        <v>88</v>
      </c>
      <c r="Q24" s="19">
        <f t="shared" si="3"/>
        <v>52.8</v>
      </c>
      <c r="R24" s="22">
        <f t="shared" si="2"/>
        <v>92.8</v>
      </c>
    </row>
    <row r="25" spans="1:18" ht="20.399999999999999" x14ac:dyDescent="0.3">
      <c r="A25" s="16">
        <v>14</v>
      </c>
      <c r="B25" s="16" t="s">
        <v>63</v>
      </c>
      <c r="C25" s="35" t="s">
        <v>64</v>
      </c>
      <c r="D25" s="16" t="s">
        <v>62</v>
      </c>
      <c r="E25" s="19">
        <v>30</v>
      </c>
      <c r="F25" s="20">
        <v>25</v>
      </c>
      <c r="G25" s="19">
        <v>12</v>
      </c>
      <c r="H25" s="19">
        <v>12</v>
      </c>
      <c r="I25" s="20">
        <v>12</v>
      </c>
      <c r="J25" s="20">
        <f t="shared" ref="J25:J34" si="5">SUM(E25:I25)</f>
        <v>91</v>
      </c>
      <c r="K25" s="19">
        <f t="shared" si="1"/>
        <v>36.4</v>
      </c>
      <c r="L25" s="19">
        <v>20</v>
      </c>
      <c r="M25" s="20">
        <v>24</v>
      </c>
      <c r="N25" s="19">
        <v>24</v>
      </c>
      <c r="O25" s="19">
        <v>20</v>
      </c>
      <c r="P25" s="21">
        <f t="shared" si="4"/>
        <v>88</v>
      </c>
      <c r="Q25" s="19">
        <f t="shared" si="3"/>
        <v>52.8</v>
      </c>
      <c r="R25" s="22">
        <f t="shared" si="2"/>
        <v>89.199999999999989</v>
      </c>
    </row>
    <row r="26" spans="1:18" x14ac:dyDescent="0.3">
      <c r="A26" s="16">
        <v>15</v>
      </c>
      <c r="B26" s="16" t="s">
        <v>65</v>
      </c>
      <c r="C26" s="17" t="s">
        <v>66</v>
      </c>
      <c r="D26" s="18" t="s">
        <v>67</v>
      </c>
      <c r="E26" s="19">
        <v>18</v>
      </c>
      <c r="F26" s="20">
        <v>15</v>
      </c>
      <c r="G26" s="19">
        <v>15</v>
      </c>
      <c r="H26" s="19">
        <v>15</v>
      </c>
      <c r="I26" s="20">
        <v>12</v>
      </c>
      <c r="J26" s="20">
        <f t="shared" si="5"/>
        <v>75</v>
      </c>
      <c r="K26" s="19">
        <f t="shared" si="1"/>
        <v>30</v>
      </c>
      <c r="L26" s="19">
        <v>16</v>
      </c>
      <c r="M26" s="20">
        <v>24</v>
      </c>
      <c r="N26" s="19">
        <v>24</v>
      </c>
      <c r="O26" s="19">
        <v>20</v>
      </c>
      <c r="P26" s="21">
        <f t="shared" si="4"/>
        <v>84</v>
      </c>
      <c r="Q26" s="19">
        <f t="shared" si="3"/>
        <v>50.4</v>
      </c>
      <c r="R26" s="22">
        <f t="shared" si="2"/>
        <v>80.400000000000006</v>
      </c>
    </row>
    <row r="27" spans="1:18" ht="20.399999999999999" x14ac:dyDescent="0.3">
      <c r="A27" s="16">
        <v>16</v>
      </c>
      <c r="B27" s="16" t="s">
        <v>68</v>
      </c>
      <c r="C27" s="35" t="s">
        <v>69</v>
      </c>
      <c r="D27" s="16" t="s">
        <v>70</v>
      </c>
      <c r="E27" s="19">
        <v>30</v>
      </c>
      <c r="F27" s="19">
        <v>25</v>
      </c>
      <c r="G27" s="19">
        <v>12</v>
      </c>
      <c r="H27" s="19">
        <v>12</v>
      </c>
      <c r="I27" s="19">
        <v>12</v>
      </c>
      <c r="J27" s="20">
        <f t="shared" si="5"/>
        <v>91</v>
      </c>
      <c r="K27" s="19">
        <f t="shared" si="1"/>
        <v>36.4</v>
      </c>
      <c r="L27" s="19">
        <v>16</v>
      </c>
      <c r="M27" s="20">
        <v>24</v>
      </c>
      <c r="N27" s="19">
        <v>24</v>
      </c>
      <c r="O27" s="19">
        <v>20</v>
      </c>
      <c r="P27" s="21">
        <f t="shared" si="4"/>
        <v>84</v>
      </c>
      <c r="Q27" s="19">
        <f t="shared" si="3"/>
        <v>50.4</v>
      </c>
      <c r="R27" s="22">
        <f t="shared" si="2"/>
        <v>86.8</v>
      </c>
    </row>
    <row r="28" spans="1:18" x14ac:dyDescent="0.3">
      <c r="A28" s="16">
        <v>17</v>
      </c>
      <c r="B28" s="16" t="s">
        <v>71</v>
      </c>
      <c r="C28" s="35" t="s">
        <v>72</v>
      </c>
      <c r="D28" s="16" t="s">
        <v>73</v>
      </c>
      <c r="E28" s="19">
        <v>30</v>
      </c>
      <c r="F28" s="20">
        <v>25</v>
      </c>
      <c r="G28" s="19">
        <v>15</v>
      </c>
      <c r="H28" s="19">
        <v>15</v>
      </c>
      <c r="I28" s="20">
        <v>15</v>
      </c>
      <c r="J28" s="20">
        <f t="shared" si="5"/>
        <v>100</v>
      </c>
      <c r="K28" s="19">
        <f t="shared" si="1"/>
        <v>40</v>
      </c>
      <c r="L28" s="19">
        <v>20</v>
      </c>
      <c r="M28" s="20">
        <v>24</v>
      </c>
      <c r="N28" s="19">
        <v>30</v>
      </c>
      <c r="O28" s="19">
        <v>20</v>
      </c>
      <c r="P28" s="21">
        <f t="shared" si="4"/>
        <v>94</v>
      </c>
      <c r="Q28" s="19">
        <f t="shared" si="3"/>
        <v>56.4</v>
      </c>
      <c r="R28" s="22">
        <f t="shared" si="2"/>
        <v>96.4</v>
      </c>
    </row>
    <row r="29" spans="1:18" x14ac:dyDescent="0.3">
      <c r="A29" s="16">
        <v>18</v>
      </c>
      <c r="B29" s="16" t="s">
        <v>74</v>
      </c>
      <c r="C29" s="35" t="s">
        <v>75</v>
      </c>
      <c r="D29" s="16" t="s">
        <v>76</v>
      </c>
      <c r="E29" s="19">
        <v>30</v>
      </c>
      <c r="F29" s="20">
        <v>25</v>
      </c>
      <c r="G29" s="19">
        <v>15</v>
      </c>
      <c r="H29" s="19">
        <v>15</v>
      </c>
      <c r="I29" s="20">
        <v>15</v>
      </c>
      <c r="J29" s="20">
        <f t="shared" si="5"/>
        <v>100</v>
      </c>
      <c r="K29" s="19">
        <f t="shared" si="1"/>
        <v>40</v>
      </c>
      <c r="L29" s="19">
        <v>16</v>
      </c>
      <c r="M29" s="20">
        <v>24</v>
      </c>
      <c r="N29" s="19">
        <v>30</v>
      </c>
      <c r="O29" s="19">
        <v>20</v>
      </c>
      <c r="P29" s="21">
        <f t="shared" si="4"/>
        <v>90</v>
      </c>
      <c r="Q29" s="19">
        <f t="shared" si="3"/>
        <v>54</v>
      </c>
      <c r="R29" s="22">
        <f t="shared" si="2"/>
        <v>94</v>
      </c>
    </row>
    <row r="30" spans="1:18" x14ac:dyDescent="0.3">
      <c r="A30" s="16">
        <v>19</v>
      </c>
      <c r="B30" s="36" t="s">
        <v>77</v>
      </c>
      <c r="C30" s="37" t="s">
        <v>78</v>
      </c>
      <c r="D30" s="36" t="s">
        <v>79</v>
      </c>
      <c r="E30" s="38">
        <v>24</v>
      </c>
      <c r="F30" s="39">
        <v>25</v>
      </c>
      <c r="G30" s="38">
        <v>15</v>
      </c>
      <c r="H30" s="38">
        <v>12</v>
      </c>
      <c r="I30" s="39">
        <v>15</v>
      </c>
      <c r="J30" s="39">
        <f t="shared" si="5"/>
        <v>91</v>
      </c>
      <c r="K30" s="38">
        <f t="shared" si="1"/>
        <v>36.4</v>
      </c>
      <c r="L30" s="38">
        <v>20</v>
      </c>
      <c r="M30" s="39">
        <v>24</v>
      </c>
      <c r="N30" s="38">
        <v>24</v>
      </c>
      <c r="O30" s="38">
        <v>20</v>
      </c>
      <c r="P30" s="40">
        <f t="shared" si="4"/>
        <v>88</v>
      </c>
      <c r="Q30" s="19">
        <f t="shared" si="3"/>
        <v>52.8</v>
      </c>
      <c r="R30" s="41">
        <f t="shared" si="2"/>
        <v>89.199999999999989</v>
      </c>
    </row>
    <row r="31" spans="1:18" x14ac:dyDescent="0.3">
      <c r="A31" s="16">
        <v>20</v>
      </c>
      <c r="B31" s="42" t="s">
        <v>80</v>
      </c>
      <c r="C31" s="43" t="s">
        <v>81</v>
      </c>
      <c r="D31" s="42" t="s">
        <v>79</v>
      </c>
      <c r="E31" s="44">
        <v>30</v>
      </c>
      <c r="F31" s="45">
        <v>20</v>
      </c>
      <c r="G31" s="44">
        <v>15</v>
      </c>
      <c r="H31" s="44">
        <v>15</v>
      </c>
      <c r="I31" s="45">
        <v>15</v>
      </c>
      <c r="J31" s="45">
        <f t="shared" si="5"/>
        <v>95</v>
      </c>
      <c r="K31" s="19">
        <f t="shared" si="1"/>
        <v>38</v>
      </c>
      <c r="L31" s="44">
        <v>8</v>
      </c>
      <c r="M31" s="45">
        <v>18</v>
      </c>
      <c r="N31" s="44">
        <v>12</v>
      </c>
      <c r="O31" s="44">
        <v>12</v>
      </c>
      <c r="P31" s="46">
        <f t="shared" si="4"/>
        <v>50</v>
      </c>
      <c r="Q31" s="19">
        <f t="shared" si="3"/>
        <v>30</v>
      </c>
      <c r="R31" s="47">
        <f t="shared" si="2"/>
        <v>68</v>
      </c>
    </row>
    <row r="32" spans="1:18" ht="20.399999999999999" x14ac:dyDescent="0.3">
      <c r="A32" s="16">
        <v>21</v>
      </c>
      <c r="B32" s="42" t="s">
        <v>82</v>
      </c>
      <c r="C32" s="43" t="s">
        <v>83</v>
      </c>
      <c r="D32" s="42" t="s">
        <v>84</v>
      </c>
      <c r="E32" s="44">
        <v>30</v>
      </c>
      <c r="F32" s="45">
        <v>20</v>
      </c>
      <c r="G32" s="44">
        <v>15</v>
      </c>
      <c r="H32" s="44">
        <v>15</v>
      </c>
      <c r="I32" s="45">
        <v>15</v>
      </c>
      <c r="J32" s="45">
        <f t="shared" si="5"/>
        <v>95</v>
      </c>
      <c r="K32" s="19">
        <f t="shared" si="1"/>
        <v>38</v>
      </c>
      <c r="L32" s="44">
        <v>20</v>
      </c>
      <c r="M32" s="45">
        <v>24</v>
      </c>
      <c r="N32" s="44">
        <v>24</v>
      </c>
      <c r="O32" s="44">
        <v>20</v>
      </c>
      <c r="P32" s="46">
        <f t="shared" si="4"/>
        <v>88</v>
      </c>
      <c r="Q32" s="19">
        <f t="shared" si="3"/>
        <v>52.8</v>
      </c>
      <c r="R32" s="47">
        <f t="shared" si="2"/>
        <v>90.8</v>
      </c>
    </row>
    <row r="33" spans="1:18" ht="20.399999999999999" x14ac:dyDescent="0.3">
      <c r="A33" s="16">
        <v>22</v>
      </c>
      <c r="B33" s="16" t="s">
        <v>85</v>
      </c>
      <c r="C33" s="35" t="s">
        <v>86</v>
      </c>
      <c r="D33" s="16" t="s">
        <v>84</v>
      </c>
      <c r="E33" s="19">
        <v>30</v>
      </c>
      <c r="F33" s="20">
        <v>25</v>
      </c>
      <c r="G33" s="19">
        <v>15</v>
      </c>
      <c r="H33" s="19">
        <v>15</v>
      </c>
      <c r="I33" s="20">
        <v>15</v>
      </c>
      <c r="J33" s="20">
        <f t="shared" si="5"/>
        <v>100</v>
      </c>
      <c r="K33" s="19">
        <f t="shared" si="1"/>
        <v>40</v>
      </c>
      <c r="L33" s="19">
        <v>20</v>
      </c>
      <c r="M33" s="20">
        <v>24</v>
      </c>
      <c r="N33" s="19">
        <v>24</v>
      </c>
      <c r="O33" s="19">
        <v>20</v>
      </c>
      <c r="P33" s="21">
        <f t="shared" si="4"/>
        <v>88</v>
      </c>
      <c r="Q33" s="19">
        <f t="shared" si="3"/>
        <v>52.8</v>
      </c>
      <c r="R33" s="22">
        <f t="shared" si="2"/>
        <v>92.8</v>
      </c>
    </row>
    <row r="34" spans="1:18" ht="20.399999999999999" x14ac:dyDescent="0.3">
      <c r="A34" s="16">
        <v>23</v>
      </c>
      <c r="B34" s="42" t="s">
        <v>87</v>
      </c>
      <c r="C34" s="43" t="s">
        <v>88</v>
      </c>
      <c r="D34" s="42" t="s">
        <v>89</v>
      </c>
      <c r="E34" s="44">
        <v>30</v>
      </c>
      <c r="F34" s="45">
        <v>20</v>
      </c>
      <c r="G34" s="44">
        <v>15</v>
      </c>
      <c r="H34" s="44">
        <v>15</v>
      </c>
      <c r="I34" s="45">
        <v>15</v>
      </c>
      <c r="J34" s="45">
        <f t="shared" si="5"/>
        <v>95</v>
      </c>
      <c r="K34" s="19">
        <f t="shared" si="1"/>
        <v>38</v>
      </c>
      <c r="L34" s="44">
        <v>20</v>
      </c>
      <c r="M34" s="45">
        <v>24</v>
      </c>
      <c r="N34" s="44">
        <v>30</v>
      </c>
      <c r="O34" s="44">
        <v>20</v>
      </c>
      <c r="P34" s="46">
        <f t="shared" si="4"/>
        <v>94</v>
      </c>
      <c r="Q34" s="19">
        <f t="shared" si="3"/>
        <v>56.4</v>
      </c>
      <c r="R34" s="47">
        <f t="shared" si="2"/>
        <v>94.4</v>
      </c>
    </row>
    <row r="35" spans="1:18" ht="20.399999999999999" x14ac:dyDescent="0.3">
      <c r="A35" s="16">
        <v>24</v>
      </c>
      <c r="B35" s="16" t="s">
        <v>90</v>
      </c>
      <c r="C35" s="35" t="s">
        <v>91</v>
      </c>
      <c r="D35" s="16" t="s">
        <v>89</v>
      </c>
      <c r="E35" s="19">
        <v>30</v>
      </c>
      <c r="F35" s="20">
        <v>25</v>
      </c>
      <c r="G35" s="19">
        <v>15</v>
      </c>
      <c r="H35" s="19">
        <v>15</v>
      </c>
      <c r="I35" s="20">
        <v>15</v>
      </c>
      <c r="J35" s="20">
        <v>100</v>
      </c>
      <c r="K35" s="19">
        <f t="shared" si="1"/>
        <v>40</v>
      </c>
      <c r="L35" s="19">
        <v>16</v>
      </c>
      <c r="M35" s="20">
        <v>24</v>
      </c>
      <c r="N35" s="19">
        <v>30</v>
      </c>
      <c r="O35" s="19">
        <v>20</v>
      </c>
      <c r="P35" s="21">
        <f t="shared" si="4"/>
        <v>90</v>
      </c>
      <c r="Q35" s="19">
        <f t="shared" si="3"/>
        <v>54</v>
      </c>
      <c r="R35" s="22">
        <f t="shared" si="2"/>
        <v>94</v>
      </c>
    </row>
    <row r="36" spans="1:18" x14ac:dyDescent="0.3">
      <c r="A36" s="16">
        <v>25</v>
      </c>
      <c r="B36" s="16" t="s">
        <v>92</v>
      </c>
      <c r="C36" s="35" t="s">
        <v>93</v>
      </c>
      <c r="D36" s="48" t="s">
        <v>94</v>
      </c>
      <c r="E36" s="19">
        <v>30</v>
      </c>
      <c r="F36" s="20">
        <v>25</v>
      </c>
      <c r="G36" s="19">
        <v>15</v>
      </c>
      <c r="H36" s="19">
        <v>15</v>
      </c>
      <c r="I36" s="20">
        <v>15</v>
      </c>
      <c r="J36" s="20">
        <f t="shared" ref="J36:J61" si="6">SUM(E36:I36)</f>
        <v>100</v>
      </c>
      <c r="K36" s="19">
        <f t="shared" si="1"/>
        <v>40</v>
      </c>
      <c r="L36" s="19">
        <v>20</v>
      </c>
      <c r="M36" s="20">
        <v>24</v>
      </c>
      <c r="N36" s="19">
        <v>24</v>
      </c>
      <c r="O36" s="19">
        <v>20</v>
      </c>
      <c r="P36" s="21">
        <f t="shared" si="4"/>
        <v>88</v>
      </c>
      <c r="Q36" s="19">
        <f t="shared" si="3"/>
        <v>52.8</v>
      </c>
      <c r="R36" s="22">
        <f t="shared" si="2"/>
        <v>92.8</v>
      </c>
    </row>
    <row r="37" spans="1:18" ht="20.399999999999999" x14ac:dyDescent="0.3">
      <c r="A37" s="16">
        <v>26</v>
      </c>
      <c r="B37" s="16" t="s">
        <v>95</v>
      </c>
      <c r="C37" s="35" t="s">
        <v>96</v>
      </c>
      <c r="D37" s="49" t="s">
        <v>97</v>
      </c>
      <c r="E37" s="19">
        <v>30</v>
      </c>
      <c r="F37" s="20">
        <v>25</v>
      </c>
      <c r="G37" s="19">
        <v>12</v>
      </c>
      <c r="H37" s="19">
        <v>12</v>
      </c>
      <c r="I37" s="20">
        <v>12</v>
      </c>
      <c r="J37" s="20">
        <f t="shared" si="6"/>
        <v>91</v>
      </c>
      <c r="K37" s="19">
        <f t="shared" si="1"/>
        <v>36.4</v>
      </c>
      <c r="L37" s="19">
        <v>20</v>
      </c>
      <c r="M37" s="20">
        <v>24</v>
      </c>
      <c r="N37" s="19">
        <v>24</v>
      </c>
      <c r="O37" s="19">
        <v>20</v>
      </c>
      <c r="P37" s="21">
        <f t="shared" si="4"/>
        <v>88</v>
      </c>
      <c r="Q37" s="19">
        <f t="shared" si="3"/>
        <v>52.8</v>
      </c>
      <c r="R37" s="22">
        <f t="shared" si="2"/>
        <v>89.199999999999989</v>
      </c>
    </row>
    <row r="38" spans="1:18" x14ac:dyDescent="0.3">
      <c r="A38" s="16">
        <v>27</v>
      </c>
      <c r="B38" s="50" t="s">
        <v>98</v>
      </c>
      <c r="C38" s="51" t="s">
        <v>99</v>
      </c>
      <c r="D38" s="50" t="s">
        <v>97</v>
      </c>
      <c r="E38" s="52">
        <v>30</v>
      </c>
      <c r="F38" s="53">
        <v>25</v>
      </c>
      <c r="G38" s="52">
        <v>12</v>
      </c>
      <c r="H38" s="52">
        <v>15</v>
      </c>
      <c r="I38" s="53">
        <v>15</v>
      </c>
      <c r="J38" s="53">
        <f t="shared" si="6"/>
        <v>97</v>
      </c>
      <c r="K38" s="52">
        <f t="shared" si="1"/>
        <v>38.799999999999997</v>
      </c>
      <c r="L38" s="52">
        <v>20</v>
      </c>
      <c r="M38" s="53">
        <v>24</v>
      </c>
      <c r="N38" s="52">
        <v>30</v>
      </c>
      <c r="O38" s="52">
        <v>16</v>
      </c>
      <c r="P38" s="54">
        <f t="shared" si="4"/>
        <v>90</v>
      </c>
      <c r="Q38" s="19">
        <f t="shared" si="3"/>
        <v>54</v>
      </c>
      <c r="R38" s="55">
        <f t="shared" si="2"/>
        <v>92.8</v>
      </c>
    </row>
    <row r="39" spans="1:18" ht="20.399999999999999" x14ac:dyDescent="0.3">
      <c r="A39" s="16">
        <v>28</v>
      </c>
      <c r="B39" s="50" t="s">
        <v>100</v>
      </c>
      <c r="C39" s="51" t="s">
        <v>101</v>
      </c>
      <c r="D39" s="50" t="s">
        <v>102</v>
      </c>
      <c r="E39" s="52">
        <v>30</v>
      </c>
      <c r="F39" s="53">
        <v>25</v>
      </c>
      <c r="G39" s="52">
        <v>12</v>
      </c>
      <c r="H39" s="52">
        <v>15</v>
      </c>
      <c r="I39" s="53">
        <v>15</v>
      </c>
      <c r="J39" s="53">
        <f t="shared" si="6"/>
        <v>97</v>
      </c>
      <c r="K39" s="52">
        <f t="shared" si="1"/>
        <v>38.799999999999997</v>
      </c>
      <c r="L39" s="52">
        <v>20</v>
      </c>
      <c r="M39" s="53">
        <v>24</v>
      </c>
      <c r="N39" s="52">
        <v>24</v>
      </c>
      <c r="O39" s="52">
        <v>12</v>
      </c>
      <c r="P39" s="54">
        <f t="shared" si="4"/>
        <v>80</v>
      </c>
      <c r="Q39" s="19">
        <f t="shared" si="3"/>
        <v>48</v>
      </c>
      <c r="R39" s="55">
        <f t="shared" si="2"/>
        <v>86.8</v>
      </c>
    </row>
    <row r="40" spans="1:18" x14ac:dyDescent="0.3">
      <c r="A40" s="16">
        <v>29</v>
      </c>
      <c r="B40" s="36" t="s">
        <v>103</v>
      </c>
      <c r="C40" s="37" t="s">
        <v>104</v>
      </c>
      <c r="D40" s="36" t="s">
        <v>105</v>
      </c>
      <c r="E40" s="38">
        <v>24</v>
      </c>
      <c r="F40" s="39">
        <v>25</v>
      </c>
      <c r="G40" s="38">
        <v>15</v>
      </c>
      <c r="H40" s="38">
        <v>12</v>
      </c>
      <c r="I40" s="39">
        <v>15</v>
      </c>
      <c r="J40" s="39">
        <f t="shared" si="6"/>
        <v>91</v>
      </c>
      <c r="K40" s="38">
        <f t="shared" si="1"/>
        <v>36.4</v>
      </c>
      <c r="L40" s="38">
        <v>20</v>
      </c>
      <c r="M40" s="39">
        <v>24</v>
      </c>
      <c r="N40" s="38">
        <v>24</v>
      </c>
      <c r="O40" s="38">
        <v>20</v>
      </c>
      <c r="P40" s="40">
        <f t="shared" si="4"/>
        <v>88</v>
      </c>
      <c r="Q40" s="19">
        <f t="shared" si="3"/>
        <v>52.8</v>
      </c>
      <c r="R40" s="41">
        <f t="shared" si="2"/>
        <v>89.199999999999989</v>
      </c>
    </row>
    <row r="41" spans="1:18" x14ac:dyDescent="0.3">
      <c r="A41" s="16">
        <v>30</v>
      </c>
      <c r="B41" s="23" t="s">
        <v>106</v>
      </c>
      <c r="C41" s="24" t="s">
        <v>107</v>
      </c>
      <c r="D41" s="23" t="s">
        <v>105</v>
      </c>
      <c r="E41" s="25">
        <v>24</v>
      </c>
      <c r="F41" s="26">
        <v>25</v>
      </c>
      <c r="G41" s="25">
        <v>15</v>
      </c>
      <c r="H41" s="25">
        <v>15</v>
      </c>
      <c r="I41" s="26">
        <v>15</v>
      </c>
      <c r="J41" s="26">
        <f t="shared" si="6"/>
        <v>94</v>
      </c>
      <c r="K41" s="19">
        <f t="shared" si="1"/>
        <v>37.599999999999994</v>
      </c>
      <c r="L41" s="25">
        <v>20</v>
      </c>
      <c r="M41" s="26">
        <v>24</v>
      </c>
      <c r="N41" s="25">
        <v>30</v>
      </c>
      <c r="O41" s="25">
        <v>20</v>
      </c>
      <c r="P41" s="25">
        <f t="shared" si="4"/>
        <v>94</v>
      </c>
      <c r="Q41" s="19">
        <f t="shared" si="3"/>
        <v>56.4</v>
      </c>
      <c r="R41" s="28">
        <f t="shared" si="2"/>
        <v>94</v>
      </c>
    </row>
    <row r="42" spans="1:18" ht="20.399999999999999" x14ac:dyDescent="0.3">
      <c r="A42" s="16">
        <v>31</v>
      </c>
      <c r="B42" s="16" t="s">
        <v>108</v>
      </c>
      <c r="C42" s="35" t="s">
        <v>109</v>
      </c>
      <c r="D42" s="16" t="s">
        <v>110</v>
      </c>
      <c r="E42" s="19">
        <v>30</v>
      </c>
      <c r="F42" s="20">
        <v>20</v>
      </c>
      <c r="G42" s="19">
        <v>15</v>
      </c>
      <c r="H42" s="19">
        <v>15</v>
      </c>
      <c r="I42" s="20">
        <v>15</v>
      </c>
      <c r="J42" s="20">
        <f t="shared" si="6"/>
        <v>95</v>
      </c>
      <c r="K42" s="19">
        <f t="shared" si="1"/>
        <v>38</v>
      </c>
      <c r="L42" s="19">
        <v>20</v>
      </c>
      <c r="M42" s="20">
        <v>24</v>
      </c>
      <c r="N42" s="19">
        <v>24</v>
      </c>
      <c r="O42" s="19">
        <v>20</v>
      </c>
      <c r="P42" s="21">
        <f t="shared" si="4"/>
        <v>88</v>
      </c>
      <c r="Q42" s="19">
        <f t="shared" si="3"/>
        <v>52.8</v>
      </c>
      <c r="R42" s="22">
        <f t="shared" si="2"/>
        <v>90.8</v>
      </c>
    </row>
    <row r="43" spans="1:18" ht="20.399999999999999" x14ac:dyDescent="0.3">
      <c r="A43" s="16">
        <v>32</v>
      </c>
      <c r="B43" s="16" t="s">
        <v>111</v>
      </c>
      <c r="C43" s="35" t="s">
        <v>112</v>
      </c>
      <c r="D43" s="16" t="s">
        <v>113</v>
      </c>
      <c r="E43" s="19">
        <v>30</v>
      </c>
      <c r="F43" s="20">
        <v>25</v>
      </c>
      <c r="G43" s="19">
        <v>15</v>
      </c>
      <c r="H43" s="19">
        <v>15</v>
      </c>
      <c r="I43" s="20">
        <v>15</v>
      </c>
      <c r="J43" s="20">
        <f t="shared" si="6"/>
        <v>100</v>
      </c>
      <c r="K43" s="19">
        <f t="shared" si="1"/>
        <v>40</v>
      </c>
      <c r="L43" s="19">
        <v>16</v>
      </c>
      <c r="M43" s="20">
        <v>24</v>
      </c>
      <c r="N43" s="19">
        <v>24</v>
      </c>
      <c r="O43" s="19">
        <v>20</v>
      </c>
      <c r="P43" s="21">
        <f t="shared" si="4"/>
        <v>84</v>
      </c>
      <c r="Q43" s="19">
        <f t="shared" si="3"/>
        <v>50.4</v>
      </c>
      <c r="R43" s="22">
        <f t="shared" si="2"/>
        <v>90.4</v>
      </c>
    </row>
    <row r="44" spans="1:18" x14ac:dyDescent="0.3">
      <c r="A44" s="16">
        <v>33</v>
      </c>
      <c r="B44" s="16" t="s">
        <v>114</v>
      </c>
      <c r="C44" s="35" t="s">
        <v>115</v>
      </c>
      <c r="D44" s="16" t="s">
        <v>116</v>
      </c>
      <c r="E44" s="19">
        <v>30</v>
      </c>
      <c r="F44" s="20">
        <v>25</v>
      </c>
      <c r="G44" s="19">
        <v>15</v>
      </c>
      <c r="H44" s="19">
        <v>15</v>
      </c>
      <c r="I44" s="20">
        <v>15</v>
      </c>
      <c r="J44" s="20">
        <f t="shared" si="6"/>
        <v>100</v>
      </c>
      <c r="K44" s="19">
        <f t="shared" si="1"/>
        <v>40</v>
      </c>
      <c r="L44" s="19">
        <v>16</v>
      </c>
      <c r="M44" s="20">
        <v>24</v>
      </c>
      <c r="N44" s="19">
        <v>24</v>
      </c>
      <c r="O44" s="19">
        <v>20</v>
      </c>
      <c r="P44" s="21">
        <f t="shared" si="4"/>
        <v>84</v>
      </c>
      <c r="Q44" s="19">
        <f t="shared" si="3"/>
        <v>50.4</v>
      </c>
      <c r="R44" s="22">
        <f t="shared" si="2"/>
        <v>90.4</v>
      </c>
    </row>
    <row r="45" spans="1:18" ht="20.399999999999999" x14ac:dyDescent="0.3">
      <c r="A45" s="16">
        <v>34</v>
      </c>
      <c r="B45" s="50" t="s">
        <v>117</v>
      </c>
      <c r="C45" s="51" t="s">
        <v>118</v>
      </c>
      <c r="D45" s="50" t="s">
        <v>116</v>
      </c>
      <c r="E45" s="52">
        <v>30</v>
      </c>
      <c r="F45" s="53">
        <v>25</v>
      </c>
      <c r="G45" s="52">
        <v>12</v>
      </c>
      <c r="H45" s="52">
        <v>15</v>
      </c>
      <c r="I45" s="53">
        <v>15</v>
      </c>
      <c r="J45" s="53">
        <f t="shared" si="6"/>
        <v>97</v>
      </c>
      <c r="K45" s="52">
        <f t="shared" si="1"/>
        <v>38.799999999999997</v>
      </c>
      <c r="L45" s="52">
        <v>16</v>
      </c>
      <c r="M45" s="53">
        <v>24</v>
      </c>
      <c r="N45" s="52">
        <v>24</v>
      </c>
      <c r="O45" s="52">
        <v>20</v>
      </c>
      <c r="P45" s="54">
        <f t="shared" si="4"/>
        <v>84</v>
      </c>
      <c r="Q45" s="19">
        <f t="shared" si="3"/>
        <v>50.4</v>
      </c>
      <c r="R45" s="55">
        <f t="shared" si="2"/>
        <v>89.199999999999989</v>
      </c>
    </row>
    <row r="46" spans="1:18" x14ac:dyDescent="0.3">
      <c r="A46" s="16">
        <v>35</v>
      </c>
      <c r="B46" s="16" t="s">
        <v>119</v>
      </c>
      <c r="C46" s="35" t="s">
        <v>120</v>
      </c>
      <c r="D46" s="16" t="s">
        <v>121</v>
      </c>
      <c r="E46" s="19">
        <v>30</v>
      </c>
      <c r="F46" s="20">
        <v>25</v>
      </c>
      <c r="G46" s="19">
        <v>12</v>
      </c>
      <c r="H46" s="19">
        <v>12</v>
      </c>
      <c r="I46" s="20">
        <v>12</v>
      </c>
      <c r="J46" s="20">
        <f t="shared" si="6"/>
        <v>91</v>
      </c>
      <c r="K46" s="19">
        <f t="shared" si="1"/>
        <v>36.4</v>
      </c>
      <c r="L46" s="19">
        <v>20</v>
      </c>
      <c r="M46" s="20">
        <v>30</v>
      </c>
      <c r="N46" s="19">
        <v>30</v>
      </c>
      <c r="O46" s="19">
        <v>20</v>
      </c>
      <c r="P46" s="21">
        <f t="shared" si="4"/>
        <v>100</v>
      </c>
      <c r="Q46" s="19">
        <f t="shared" si="3"/>
        <v>60</v>
      </c>
      <c r="R46" s="22">
        <f t="shared" si="2"/>
        <v>96.4</v>
      </c>
    </row>
    <row r="47" spans="1:18" x14ac:dyDescent="0.3">
      <c r="A47" s="16">
        <v>36</v>
      </c>
      <c r="B47" s="16" t="s">
        <v>122</v>
      </c>
      <c r="C47" s="35" t="s">
        <v>123</v>
      </c>
      <c r="D47" s="16" t="s">
        <v>124</v>
      </c>
      <c r="E47" s="19">
        <v>30</v>
      </c>
      <c r="F47" s="20">
        <v>20</v>
      </c>
      <c r="G47" s="19">
        <v>15</v>
      </c>
      <c r="H47" s="19">
        <v>15</v>
      </c>
      <c r="I47" s="20">
        <v>15</v>
      </c>
      <c r="J47" s="20">
        <f t="shared" si="6"/>
        <v>95</v>
      </c>
      <c r="K47" s="19">
        <f t="shared" si="1"/>
        <v>38</v>
      </c>
      <c r="L47" s="19">
        <v>16</v>
      </c>
      <c r="M47" s="20">
        <v>24</v>
      </c>
      <c r="N47" s="19">
        <v>24</v>
      </c>
      <c r="O47" s="19">
        <v>20</v>
      </c>
      <c r="P47" s="21">
        <f t="shared" si="4"/>
        <v>84</v>
      </c>
      <c r="Q47" s="19">
        <f t="shared" si="3"/>
        <v>50.4</v>
      </c>
      <c r="R47" s="22">
        <f t="shared" si="2"/>
        <v>88.4</v>
      </c>
    </row>
    <row r="48" spans="1:18" x14ac:dyDescent="0.3">
      <c r="A48" s="16">
        <v>37</v>
      </c>
      <c r="B48" s="16" t="s">
        <v>125</v>
      </c>
      <c r="C48" s="17" t="s">
        <v>126</v>
      </c>
      <c r="D48" s="18" t="s">
        <v>127</v>
      </c>
      <c r="E48" s="19">
        <v>18</v>
      </c>
      <c r="F48" s="20">
        <v>15</v>
      </c>
      <c r="G48" s="19">
        <v>15</v>
      </c>
      <c r="H48" s="19">
        <v>15</v>
      </c>
      <c r="I48" s="20">
        <v>12</v>
      </c>
      <c r="J48" s="20">
        <f t="shared" si="6"/>
        <v>75</v>
      </c>
      <c r="K48" s="19">
        <f t="shared" si="1"/>
        <v>30</v>
      </c>
      <c r="L48" s="19">
        <v>16</v>
      </c>
      <c r="M48" s="20">
        <v>18</v>
      </c>
      <c r="N48" s="19">
        <v>24</v>
      </c>
      <c r="O48" s="19">
        <v>20</v>
      </c>
      <c r="P48" s="21">
        <f t="shared" si="4"/>
        <v>78</v>
      </c>
      <c r="Q48" s="19">
        <f t="shared" si="3"/>
        <v>46.800000000000004</v>
      </c>
      <c r="R48" s="22">
        <f t="shared" si="2"/>
        <v>76.800000000000011</v>
      </c>
    </row>
    <row r="49" spans="1:18" x14ac:dyDescent="0.3">
      <c r="A49" s="16">
        <v>38</v>
      </c>
      <c r="B49" s="29" t="s">
        <v>128</v>
      </c>
      <c r="C49" s="30" t="s">
        <v>129</v>
      </c>
      <c r="D49" s="29" t="s">
        <v>130</v>
      </c>
      <c r="E49" s="31">
        <v>30</v>
      </c>
      <c r="F49" s="32">
        <v>25</v>
      </c>
      <c r="G49" s="31">
        <v>15</v>
      </c>
      <c r="H49" s="31">
        <v>15</v>
      </c>
      <c r="I49" s="32">
        <v>15</v>
      </c>
      <c r="J49" s="32">
        <f t="shared" si="6"/>
        <v>100</v>
      </c>
      <c r="K49" s="31">
        <f t="shared" si="1"/>
        <v>40</v>
      </c>
      <c r="L49" s="31">
        <v>20</v>
      </c>
      <c r="M49" s="32">
        <v>24</v>
      </c>
      <c r="N49" s="31">
        <v>24</v>
      </c>
      <c r="O49" s="31">
        <v>20</v>
      </c>
      <c r="P49" s="33">
        <f t="shared" si="4"/>
        <v>88</v>
      </c>
      <c r="Q49" s="19">
        <f t="shared" si="3"/>
        <v>52.8</v>
      </c>
      <c r="R49" s="34">
        <f t="shared" si="2"/>
        <v>92.8</v>
      </c>
    </row>
    <row r="50" spans="1:18" ht="20.399999999999999" x14ac:dyDescent="0.3">
      <c r="A50" s="16">
        <v>39</v>
      </c>
      <c r="B50" s="29" t="s">
        <v>131</v>
      </c>
      <c r="C50" s="30" t="s">
        <v>132</v>
      </c>
      <c r="D50" s="29" t="s">
        <v>130</v>
      </c>
      <c r="E50" s="31">
        <v>30</v>
      </c>
      <c r="F50" s="32">
        <v>25</v>
      </c>
      <c r="G50" s="31">
        <v>15</v>
      </c>
      <c r="H50" s="31">
        <v>15</v>
      </c>
      <c r="I50" s="32">
        <v>15</v>
      </c>
      <c r="J50" s="32">
        <f t="shared" si="6"/>
        <v>100</v>
      </c>
      <c r="K50" s="31">
        <f t="shared" si="1"/>
        <v>40</v>
      </c>
      <c r="L50" s="31">
        <v>20</v>
      </c>
      <c r="M50" s="32">
        <v>24</v>
      </c>
      <c r="N50" s="31">
        <v>24</v>
      </c>
      <c r="O50" s="31">
        <v>20</v>
      </c>
      <c r="P50" s="33">
        <f t="shared" si="4"/>
        <v>88</v>
      </c>
      <c r="Q50" s="19">
        <f t="shared" si="3"/>
        <v>52.8</v>
      </c>
      <c r="R50" s="34">
        <f t="shared" si="2"/>
        <v>92.8</v>
      </c>
    </row>
    <row r="51" spans="1:18" ht="25.5" customHeight="1" x14ac:dyDescent="0.3">
      <c r="A51" s="16">
        <v>40</v>
      </c>
      <c r="B51" s="16" t="s">
        <v>133</v>
      </c>
      <c r="C51" s="35" t="s">
        <v>134</v>
      </c>
      <c r="D51" s="16" t="s">
        <v>135</v>
      </c>
      <c r="E51" s="19">
        <v>30</v>
      </c>
      <c r="F51" s="20">
        <v>20</v>
      </c>
      <c r="G51" s="19">
        <v>15</v>
      </c>
      <c r="H51" s="19">
        <v>15</v>
      </c>
      <c r="I51" s="20">
        <v>15</v>
      </c>
      <c r="J51" s="20">
        <f t="shared" si="6"/>
        <v>95</v>
      </c>
      <c r="K51" s="19">
        <f t="shared" si="1"/>
        <v>38</v>
      </c>
      <c r="L51" s="19">
        <v>20</v>
      </c>
      <c r="M51" s="20">
        <v>24</v>
      </c>
      <c r="N51" s="19">
        <v>24</v>
      </c>
      <c r="O51" s="19">
        <v>20</v>
      </c>
      <c r="P51" s="21">
        <f t="shared" si="4"/>
        <v>88</v>
      </c>
      <c r="Q51" s="19">
        <f t="shared" si="3"/>
        <v>52.8</v>
      </c>
      <c r="R51" s="22">
        <f t="shared" si="2"/>
        <v>90.8</v>
      </c>
    </row>
    <row r="52" spans="1:18" x14ac:dyDescent="0.3">
      <c r="A52" s="16">
        <v>41</v>
      </c>
      <c r="B52" s="16" t="s">
        <v>136</v>
      </c>
      <c r="C52" s="35" t="s">
        <v>137</v>
      </c>
      <c r="D52" s="16" t="s">
        <v>135</v>
      </c>
      <c r="E52" s="19">
        <v>30</v>
      </c>
      <c r="F52" s="20">
        <v>20</v>
      </c>
      <c r="G52" s="19">
        <v>15</v>
      </c>
      <c r="H52" s="19">
        <v>15</v>
      </c>
      <c r="I52" s="20">
        <v>15</v>
      </c>
      <c r="J52" s="20">
        <f t="shared" si="6"/>
        <v>95</v>
      </c>
      <c r="K52" s="19">
        <f t="shared" si="1"/>
        <v>38</v>
      </c>
      <c r="L52" s="19">
        <v>20</v>
      </c>
      <c r="M52" s="20">
        <v>24</v>
      </c>
      <c r="N52" s="19">
        <v>24</v>
      </c>
      <c r="O52" s="19">
        <v>20</v>
      </c>
      <c r="P52" s="21">
        <f t="shared" si="4"/>
        <v>88</v>
      </c>
      <c r="Q52" s="19">
        <f t="shared" si="3"/>
        <v>52.8</v>
      </c>
      <c r="R52" s="22">
        <f t="shared" si="2"/>
        <v>90.8</v>
      </c>
    </row>
    <row r="53" spans="1:18" x14ac:dyDescent="0.3">
      <c r="A53" s="16">
        <v>42</v>
      </c>
      <c r="B53" s="50" t="s">
        <v>138</v>
      </c>
      <c r="C53" s="51" t="s">
        <v>139</v>
      </c>
      <c r="D53" s="50" t="s">
        <v>140</v>
      </c>
      <c r="E53" s="52">
        <v>30</v>
      </c>
      <c r="F53" s="53">
        <v>25</v>
      </c>
      <c r="G53" s="52">
        <v>12</v>
      </c>
      <c r="H53" s="52">
        <v>15</v>
      </c>
      <c r="I53" s="53">
        <v>15</v>
      </c>
      <c r="J53" s="53">
        <f t="shared" si="6"/>
        <v>97</v>
      </c>
      <c r="K53" s="52">
        <f t="shared" si="1"/>
        <v>38.799999999999997</v>
      </c>
      <c r="L53" s="52">
        <v>20</v>
      </c>
      <c r="M53" s="53">
        <v>24</v>
      </c>
      <c r="N53" s="52">
        <v>24</v>
      </c>
      <c r="O53" s="52">
        <v>20</v>
      </c>
      <c r="P53" s="54">
        <f t="shared" si="4"/>
        <v>88</v>
      </c>
      <c r="Q53" s="19">
        <f t="shared" si="3"/>
        <v>52.8</v>
      </c>
      <c r="R53" s="55">
        <f t="shared" si="2"/>
        <v>91.6</v>
      </c>
    </row>
    <row r="54" spans="1:18" ht="20.399999999999999" x14ac:dyDescent="0.3">
      <c r="A54" s="16">
        <v>43</v>
      </c>
      <c r="B54" s="50" t="s">
        <v>141</v>
      </c>
      <c r="C54" s="51" t="s">
        <v>142</v>
      </c>
      <c r="D54" s="50" t="s">
        <v>143</v>
      </c>
      <c r="E54" s="52">
        <v>30</v>
      </c>
      <c r="F54" s="53">
        <v>25</v>
      </c>
      <c r="G54" s="52">
        <v>12</v>
      </c>
      <c r="H54" s="52">
        <v>15</v>
      </c>
      <c r="I54" s="53">
        <v>15</v>
      </c>
      <c r="J54" s="53">
        <f t="shared" si="6"/>
        <v>97</v>
      </c>
      <c r="K54" s="52">
        <f t="shared" si="1"/>
        <v>38.799999999999997</v>
      </c>
      <c r="L54" s="52">
        <v>4</v>
      </c>
      <c r="M54" s="53">
        <v>18</v>
      </c>
      <c r="N54" s="52">
        <v>12</v>
      </c>
      <c r="O54" s="52">
        <v>12</v>
      </c>
      <c r="P54" s="54">
        <f t="shared" si="4"/>
        <v>46</v>
      </c>
      <c r="Q54" s="19">
        <f t="shared" si="3"/>
        <v>27.6</v>
      </c>
      <c r="R54" s="55">
        <f t="shared" si="2"/>
        <v>66.400000000000006</v>
      </c>
    </row>
    <row r="55" spans="1:18" x14ac:dyDescent="0.3">
      <c r="A55" s="16">
        <v>44</v>
      </c>
      <c r="B55" s="36" t="s">
        <v>144</v>
      </c>
      <c r="C55" s="37" t="s">
        <v>145</v>
      </c>
      <c r="D55" s="36" t="s">
        <v>146</v>
      </c>
      <c r="E55" s="38">
        <v>24</v>
      </c>
      <c r="F55" s="39">
        <v>25</v>
      </c>
      <c r="G55" s="38">
        <v>15</v>
      </c>
      <c r="H55" s="38">
        <v>12</v>
      </c>
      <c r="I55" s="39">
        <v>15</v>
      </c>
      <c r="J55" s="39">
        <f t="shared" si="6"/>
        <v>91</v>
      </c>
      <c r="K55" s="38">
        <f t="shared" si="1"/>
        <v>36.4</v>
      </c>
      <c r="L55" s="38">
        <v>16</v>
      </c>
      <c r="M55" s="39">
        <v>24</v>
      </c>
      <c r="N55" s="38">
        <v>24</v>
      </c>
      <c r="O55" s="38">
        <v>20</v>
      </c>
      <c r="P55" s="40">
        <f t="shared" si="4"/>
        <v>84</v>
      </c>
      <c r="Q55" s="19">
        <f t="shared" si="3"/>
        <v>50.4</v>
      </c>
      <c r="R55" s="41">
        <f t="shared" si="2"/>
        <v>86.8</v>
      </c>
    </row>
    <row r="56" spans="1:18" x14ac:dyDescent="0.3">
      <c r="A56" s="16">
        <v>45</v>
      </c>
      <c r="B56" s="16" t="s">
        <v>147</v>
      </c>
      <c r="C56" s="35" t="s">
        <v>148</v>
      </c>
      <c r="D56" s="16" t="s">
        <v>149</v>
      </c>
      <c r="E56" s="19">
        <v>30</v>
      </c>
      <c r="F56" s="20">
        <v>25</v>
      </c>
      <c r="G56" s="19">
        <v>15</v>
      </c>
      <c r="H56" s="19">
        <v>15</v>
      </c>
      <c r="I56" s="20">
        <v>15</v>
      </c>
      <c r="J56" s="20">
        <f t="shared" si="6"/>
        <v>100</v>
      </c>
      <c r="K56" s="19">
        <f t="shared" si="1"/>
        <v>40</v>
      </c>
      <c r="L56" s="19">
        <v>20</v>
      </c>
      <c r="M56" s="20">
        <v>24</v>
      </c>
      <c r="N56" s="19">
        <v>24</v>
      </c>
      <c r="O56" s="19">
        <v>20</v>
      </c>
      <c r="P56" s="21">
        <f t="shared" si="4"/>
        <v>88</v>
      </c>
      <c r="Q56" s="19">
        <f t="shared" si="3"/>
        <v>52.8</v>
      </c>
      <c r="R56" s="22">
        <f t="shared" si="2"/>
        <v>92.8</v>
      </c>
    </row>
    <row r="57" spans="1:18" x14ac:dyDescent="0.3">
      <c r="A57" s="16">
        <v>46</v>
      </c>
      <c r="B57" s="16" t="s">
        <v>150</v>
      </c>
      <c r="C57" s="35" t="s">
        <v>151</v>
      </c>
      <c r="D57" s="16" t="s">
        <v>149</v>
      </c>
      <c r="E57" s="19">
        <v>30</v>
      </c>
      <c r="F57" s="20">
        <v>25</v>
      </c>
      <c r="G57" s="19">
        <v>15</v>
      </c>
      <c r="H57" s="19">
        <v>15</v>
      </c>
      <c r="I57" s="20">
        <v>15</v>
      </c>
      <c r="J57" s="20">
        <f t="shared" si="6"/>
        <v>100</v>
      </c>
      <c r="K57" s="19">
        <f t="shared" si="1"/>
        <v>40</v>
      </c>
      <c r="L57" s="19">
        <v>20</v>
      </c>
      <c r="M57" s="20">
        <v>24</v>
      </c>
      <c r="N57" s="19">
        <v>24</v>
      </c>
      <c r="O57" s="19">
        <v>20</v>
      </c>
      <c r="P57" s="21">
        <f t="shared" si="4"/>
        <v>88</v>
      </c>
      <c r="Q57" s="19">
        <f t="shared" si="3"/>
        <v>52.8</v>
      </c>
      <c r="R57" s="22">
        <f t="shared" si="2"/>
        <v>92.8</v>
      </c>
    </row>
    <row r="58" spans="1:18" x14ac:dyDescent="0.3">
      <c r="A58" s="16">
        <v>47</v>
      </c>
      <c r="B58" s="23" t="s">
        <v>152</v>
      </c>
      <c r="C58" s="24" t="s">
        <v>153</v>
      </c>
      <c r="D58" s="23" t="s">
        <v>149</v>
      </c>
      <c r="E58" s="25">
        <v>24</v>
      </c>
      <c r="F58" s="26">
        <v>25</v>
      </c>
      <c r="G58" s="25">
        <v>15</v>
      </c>
      <c r="H58" s="25">
        <v>15</v>
      </c>
      <c r="I58" s="26">
        <v>15</v>
      </c>
      <c r="J58" s="26">
        <f t="shared" si="6"/>
        <v>94</v>
      </c>
      <c r="K58" s="19">
        <f t="shared" si="1"/>
        <v>37.599999999999994</v>
      </c>
      <c r="L58" s="25">
        <v>20</v>
      </c>
      <c r="M58" s="26">
        <v>30</v>
      </c>
      <c r="N58" s="25">
        <v>30</v>
      </c>
      <c r="O58" s="25">
        <v>20</v>
      </c>
      <c r="P58" s="27">
        <f t="shared" si="4"/>
        <v>100</v>
      </c>
      <c r="Q58" s="19">
        <f t="shared" si="3"/>
        <v>60</v>
      </c>
      <c r="R58" s="28">
        <f t="shared" si="2"/>
        <v>97.6</v>
      </c>
    </row>
    <row r="59" spans="1:18" x14ac:dyDescent="0.3">
      <c r="A59" s="16">
        <v>48</v>
      </c>
      <c r="B59" s="23" t="s">
        <v>154</v>
      </c>
      <c r="C59" s="24" t="s">
        <v>155</v>
      </c>
      <c r="D59" s="23" t="s">
        <v>156</v>
      </c>
      <c r="E59" s="25">
        <v>24</v>
      </c>
      <c r="F59" s="26">
        <v>25</v>
      </c>
      <c r="G59" s="25">
        <v>15</v>
      </c>
      <c r="H59" s="25">
        <v>15</v>
      </c>
      <c r="I59" s="26">
        <v>15</v>
      </c>
      <c r="J59" s="26">
        <f t="shared" si="6"/>
        <v>94</v>
      </c>
      <c r="K59" s="19">
        <f t="shared" si="1"/>
        <v>37.599999999999994</v>
      </c>
      <c r="L59" s="25">
        <v>20</v>
      </c>
      <c r="M59" s="26">
        <v>24</v>
      </c>
      <c r="N59" s="25">
        <v>24</v>
      </c>
      <c r="O59" s="25">
        <v>20</v>
      </c>
      <c r="P59" s="27">
        <f t="shared" si="4"/>
        <v>88</v>
      </c>
      <c r="Q59" s="19">
        <f t="shared" si="3"/>
        <v>52.8</v>
      </c>
      <c r="R59" s="28">
        <f t="shared" si="2"/>
        <v>90.399999999999991</v>
      </c>
    </row>
    <row r="60" spans="1:18" x14ac:dyDescent="0.3">
      <c r="A60" s="16">
        <v>49</v>
      </c>
      <c r="B60" s="29" t="s">
        <v>157</v>
      </c>
      <c r="C60" s="30" t="s">
        <v>158</v>
      </c>
      <c r="D60" s="29" t="s">
        <v>159</v>
      </c>
      <c r="E60" s="31">
        <v>30</v>
      </c>
      <c r="F60" s="32">
        <v>25</v>
      </c>
      <c r="G60" s="31">
        <v>15</v>
      </c>
      <c r="H60" s="31">
        <v>15</v>
      </c>
      <c r="I60" s="32">
        <v>15</v>
      </c>
      <c r="J60" s="32">
        <f t="shared" si="6"/>
        <v>100</v>
      </c>
      <c r="K60" s="31">
        <f t="shared" si="1"/>
        <v>40</v>
      </c>
      <c r="L60" s="31">
        <v>16</v>
      </c>
      <c r="M60" s="32">
        <v>24</v>
      </c>
      <c r="N60" s="31">
        <v>24</v>
      </c>
      <c r="O60" s="31">
        <v>20</v>
      </c>
      <c r="P60" s="33">
        <f t="shared" si="4"/>
        <v>84</v>
      </c>
      <c r="Q60" s="19">
        <f t="shared" si="3"/>
        <v>50.4</v>
      </c>
      <c r="R60" s="34">
        <f t="shared" si="2"/>
        <v>90.4</v>
      </c>
    </row>
    <row r="61" spans="1:18" ht="25.5" customHeight="1" x14ac:dyDescent="0.3">
      <c r="A61" s="16">
        <v>50</v>
      </c>
      <c r="B61" s="23" t="s">
        <v>160</v>
      </c>
      <c r="C61" s="24" t="s">
        <v>161</v>
      </c>
      <c r="D61" s="23" t="s">
        <v>162</v>
      </c>
      <c r="E61" s="25">
        <v>24</v>
      </c>
      <c r="F61" s="26">
        <v>25</v>
      </c>
      <c r="G61" s="25">
        <v>15</v>
      </c>
      <c r="H61" s="25">
        <v>15</v>
      </c>
      <c r="I61" s="26">
        <v>15</v>
      </c>
      <c r="J61" s="26">
        <f t="shared" si="6"/>
        <v>94</v>
      </c>
      <c r="K61" s="19">
        <f t="shared" si="1"/>
        <v>37.599999999999994</v>
      </c>
      <c r="L61" s="25">
        <v>16</v>
      </c>
      <c r="M61" s="26">
        <v>24</v>
      </c>
      <c r="N61" s="25">
        <v>24</v>
      </c>
      <c r="O61" s="25">
        <v>20</v>
      </c>
      <c r="P61" s="27">
        <f t="shared" si="4"/>
        <v>84</v>
      </c>
      <c r="Q61" s="19">
        <f t="shared" si="3"/>
        <v>50.4</v>
      </c>
      <c r="R61" s="28">
        <f t="shared" si="2"/>
        <v>88</v>
      </c>
    </row>
    <row r="62" spans="1:18" x14ac:dyDescent="0.3">
      <c r="A62" s="16">
        <v>51</v>
      </c>
      <c r="B62" s="16" t="s">
        <v>163</v>
      </c>
      <c r="C62" s="35" t="s">
        <v>164</v>
      </c>
      <c r="D62" s="16" t="s">
        <v>165</v>
      </c>
      <c r="E62" s="19">
        <v>30</v>
      </c>
      <c r="F62" s="20">
        <v>25</v>
      </c>
      <c r="G62" s="19">
        <v>15</v>
      </c>
      <c r="H62" s="19">
        <v>15</v>
      </c>
      <c r="I62" s="20">
        <v>15</v>
      </c>
      <c r="J62" s="20">
        <v>100</v>
      </c>
      <c r="K62" s="19">
        <f t="shared" si="1"/>
        <v>40</v>
      </c>
      <c r="L62" s="19">
        <v>16</v>
      </c>
      <c r="M62" s="20">
        <v>24</v>
      </c>
      <c r="N62" s="19">
        <v>24</v>
      </c>
      <c r="O62" s="19">
        <v>20</v>
      </c>
      <c r="P62" s="21">
        <f t="shared" si="4"/>
        <v>84</v>
      </c>
      <c r="Q62" s="19">
        <f t="shared" si="3"/>
        <v>50.4</v>
      </c>
      <c r="R62" s="22">
        <f t="shared" si="2"/>
        <v>90.4</v>
      </c>
    </row>
    <row r="63" spans="1:18" x14ac:dyDescent="0.3">
      <c r="A63" s="4"/>
      <c r="B63" s="4"/>
      <c r="C63" s="4"/>
      <c r="D63" s="5"/>
    </row>
    <row r="64" spans="1:18" x14ac:dyDescent="0.3">
      <c r="A64" s="3"/>
      <c r="B64" s="4"/>
      <c r="C64" s="4"/>
      <c r="D64" s="5"/>
    </row>
    <row r="65" spans="1:4" x14ac:dyDescent="0.3">
      <c r="A65" s="3"/>
      <c r="B65" s="4"/>
      <c r="C65" s="4"/>
      <c r="D65" s="5"/>
    </row>
    <row r="66" spans="1:4" x14ac:dyDescent="0.3">
      <c r="A66" s="3"/>
      <c r="B66" s="4"/>
      <c r="C66" s="4"/>
      <c r="D66" s="5"/>
    </row>
    <row r="67" spans="1:4" x14ac:dyDescent="0.3">
      <c r="A67" s="4"/>
      <c r="B67" s="4"/>
      <c r="C67" s="4"/>
      <c r="D67" s="5"/>
    </row>
    <row r="68" spans="1:4" x14ac:dyDescent="0.3">
      <c r="A68" s="3"/>
      <c r="B68" s="4"/>
      <c r="C68" s="4"/>
      <c r="D68" s="5"/>
    </row>
    <row r="69" spans="1:4" x14ac:dyDescent="0.3">
      <c r="A69" s="3"/>
      <c r="B69" s="4"/>
      <c r="C69" s="4"/>
      <c r="D69" s="5"/>
    </row>
  </sheetData>
  <autoFilter ref="A10:R62" xr:uid="{C784C7E4-D94D-4708-89ED-DAE9F5052B5C}">
    <filterColumn colId="9" showButton="0"/>
    <filterColumn colId="15" showButton="0"/>
    <sortState xmlns:xlrd2="http://schemas.microsoft.com/office/spreadsheetml/2017/richdata2" ref="A13:R62">
      <sortCondition ref="D12:D62"/>
      <sortCondition ref="B12:B62"/>
      <sortCondition ref="C12:C62"/>
    </sortState>
  </autoFilter>
  <mergeCells count="22">
    <mergeCell ref="R10:R11"/>
    <mergeCell ref="A64:A66"/>
    <mergeCell ref="A68:A69"/>
    <mergeCell ref="A10:A11"/>
    <mergeCell ref="B10:B11"/>
    <mergeCell ref="C10:C11"/>
    <mergeCell ref="D10:D11"/>
    <mergeCell ref="J10:K10"/>
    <mergeCell ref="P10:Q10"/>
    <mergeCell ref="A5:B5"/>
    <mergeCell ref="C5:D5"/>
    <mergeCell ref="A6:B6"/>
    <mergeCell ref="C6:M6"/>
    <mergeCell ref="A7:B7"/>
    <mergeCell ref="A8:B8"/>
    <mergeCell ref="C8:L8"/>
    <mergeCell ref="A1:R1"/>
    <mergeCell ref="A2:R2"/>
    <mergeCell ref="A3:B3"/>
    <mergeCell ref="C3:D3"/>
    <mergeCell ref="A4:B4"/>
    <mergeCell ref="C4:M4"/>
  </mergeCells>
  <pageMargins left="0.70866141732283472" right="0.70866141732283472" top="0.74803149606299213" bottom="0.74803149606299213" header="0.31496062992125984" footer="0.31496062992125984"/>
  <pageSetup paperSize="9" scale="98" fitToHeight="0" orientation="portrait" horizontalDpi="4294967293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RELASIS</vt:lpstr>
      <vt:lpstr>RELASIS!Print_Titles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FADZLINA BINTI MOHAMAD ASRI</dc:creator>
  <cp:lastModifiedBy>SITI FADZLINA BINTI MOHAMAD ASRI</cp:lastModifiedBy>
  <dcterms:created xsi:type="dcterms:W3CDTF">2026-10-19T01:17:28Z</dcterms:created>
  <dcterms:modified xsi:type="dcterms:W3CDTF">2026-10-19T01:28:03Z</dcterms:modified>
</cp:coreProperties>
</file>